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bb43b368a48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f3ba3660091a4268"/>
    <x:sheet xmlns:r="http://schemas.openxmlformats.org/officeDocument/2006/relationships" name="Артикулы CC" sheetId="2" r:id="R6fd52ad9101843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#,##0"/>
    <x:numFmt numFmtId="202" formatCode="@"/>
    <x:numFmt numFmtId="203" formatCode="0"/>
  </x:numFmts>
  <x:fonts count="10">
    <x:font>
      <x:sz val="11"/>
      <x:name val="Carlito"/>
    </x:font>
    <x:font>
      <x:b/>
      <x:sz val="18"/>
      <x:color rgb="FFFFFFFF"/>
      <x:name val="Aptos Display"/>
    </x:font>
    <x:font>
      <x:b/>
      <x:sz val="11"/>
      <x:color rgb="FFFFFFFF"/>
      <x:name val="Aptos"/>
    </x:font>
    <x:font>
      <x:b/>
      <x:sz val="11"/>
      <x:color rgb="FF17365D"/>
      <x:name val="Aptos"/>
    </x:font>
    <x:font>
      <x:b/>
      <x:sz val="14"/>
      <x:color rgb="FF1F1F1F"/>
      <x:name val="Aptos"/>
    </x:font>
    <x:font>
      <x:sz val="11"/>
      <x:color rgb="FF404040"/>
      <x:name val="Aptos"/>
    </x:font>
    <x:font>
      <x:b/>
      <x:sz val="18"/>
      <x:color rgb="FFFFFFFF"/>
      <x:name val="Aptos"/>
    </x:font>
    <x:font>
      <x:b/>
      <x:sz val="16"/>
      <x:color rgb="FFFFFFFF"/>
      <x:name val="Aptos Display"/>
    </x:font>
    <x:font>
      <x:i/>
      <x:sz val="11"/>
      <x:color rgb="FF44546A"/>
      <x:name val="Aptos"/>
    </x:font>
    <x:font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</x:fills>
  <x:borders count="9">
    <x:border/>
    <x:border>
      <x:left style="thin">
        <x:color rgb="FFB4C7DC"/>
      </x:left>
      <x:top style="thin">
        <x:color rgb="FFB4C7DC"/>
      </x:top>
    </x:border>
    <x:border>
      <x:right style="thin">
        <x:color rgb="FFB4C7DC"/>
      </x:right>
      <x:top style="thin">
        <x:color rgb="FFB4C7DC"/>
      </x:top>
    </x:border>
    <x:border>
      <x:left style="thin">
        <x:color rgb="FFB4C7DC"/>
      </x:left>
    </x:border>
    <x:border>
      <x:right style="thin">
        <x:color rgb="FFB4C7DC"/>
      </x:right>
    </x:border>
    <x:border>
      <x:left style="thin">
        <x:color rgb="FFB4C7DC"/>
      </x:left>
      <x:bottom style="thin">
        <x:color rgb="FFB4C7DC"/>
      </x:bottom>
    </x:border>
    <x:border>
      <x:right style="thin">
        <x:color rgb="FFB4C7DC"/>
      </x:right>
      <x:bottom style="thin">
        <x:color rgb="FFB4C7DC"/>
      </x:bottom>
    </x:border>
    <x:border>
      <x:top style="thin">
        <x:color rgb="FFB4C7DC"/>
      </x:top>
    </x:border>
    <x:border>
      <x:bottom style="thin">
        <x:color rgb="FFB4C7D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right"/>
    </x:xf>
    <x:xf numFmtId="0" fontId="2" fillId="2" borderId="1" xfId="0" applyNumberFormat="1" applyFont="1" applyFill="1" applyBorder="1" applyAlignment="1">
      <x:alignment horizontal="left"/>
    </x:xf>
    <x:xf numFmtId="0" fontId="2" fillId="2" borderId="2" xfId="0" applyNumberFormat="1" applyFont="1" applyFill="1" applyBorder="1" applyAlignment="1">
      <x:alignment horizontal="left"/>
    </x:xf>
    <x:xf numFmtId="0" fontId="3" fillId="3" borderId="3" xfId="0" applyNumberFormat="1" applyFont="1" applyFill="1" applyBorder="1"/>
    <x:xf numFmtId="0" fontId="4" fillId="4" borderId="4" xfId="0" applyNumberFormat="1" applyFont="1" applyFill="1" applyBorder="1" applyAlignment="1">
      <x:alignment horizontal="right"/>
    </x:xf>
    <x:xf numFmtId="0" fontId="3" fillId="3" borderId="5" xfId="0" applyNumberFormat="1" applyFont="1" applyFill="1" applyBorder="1"/>
    <x:xf numFmtId="0" fontId="4" fillId="4" borderId="6" xfId="0" applyNumberFormat="1" applyFont="1" applyFill="1" applyBorder="1" applyAlignment="1">
      <x:alignment horizontal="right"/>
    </x:xf>
    <x:xf numFmtId="200" fontId="4" fillId="4" borderId="4" xfId="0" applyNumberFormat="1" applyFont="1" applyFill="1" applyBorder="1" applyAlignment="1">
      <x:alignment horizontal="right"/>
    </x:xf>
    <x:xf numFmtId="201" fontId="4" fillId="4" borderId="4" xfId="0" applyNumberFormat="1" applyFont="1" applyFill="1" applyBorder="1" applyAlignment="1">
      <x:alignment horizontal="right"/>
    </x:xf>
    <x:xf numFmtId="201" fontId="4" fillId="4" borderId="6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7" xfId="0" applyNumberFormat="1" applyFont="1" applyFill="1" applyBorder="1"/>
    <x:xf numFmtId="0" fontId="5" fillId="4" borderId="2" xfId="0" applyNumberFormat="1" applyFont="1" applyFill="1" applyBorder="1"/>
    <x:xf numFmtId="0" fontId="5" fillId="4" borderId="5" xfId="0" applyNumberFormat="1" applyFont="1" applyFill="1" applyBorder="1"/>
    <x:xf numFmtId="0" fontId="5" fillId="4" borderId="8" xfId="0" applyNumberFormat="1" applyFont="1" applyFill="1" applyBorder="1"/>
    <x:xf numFmtId="0" fontId="5" fillId="4" borderId="6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4" borderId="7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3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202" fontId="9" fillId="0" borderId="0" xfId="0" applyNumberFormat="1" applyFont="1" applyFill="1" applyBorder="1"/>
    <x:xf numFmtId="203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203" fontId="9" fillId="0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2"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180db39b5c4ae9" /><Relationship Type="http://schemas.openxmlformats.org/officeDocument/2006/relationships/theme" Target="/xl/theme/theme1.xml" Id="Rb670c8c400984b7c" /><Relationship Type="http://schemas.openxmlformats.org/officeDocument/2006/relationships/sharedStrings" Target="/xl/sharedStrings.xml" Id="R12249f18deaf4dcb" /><Relationship Type="http://schemas.openxmlformats.org/officeDocument/2006/relationships/worksheet" Target="/xl/worksheets/sheet1.xml" Id="Rf3ba3660091a4268" /><Relationship Type="http://schemas.openxmlformats.org/officeDocument/2006/relationships/worksheet" Target="/xl/worksheets/sheet2.xml" Id="R6fd52ad91018430f" /></Relationships>
</file>

<file path=xl/tables/table1.xml><?xml version="1.0" encoding="utf-8"?>
<x:table xmlns:x="http://schemas.openxmlformats.org/spreadsheetml/2006/main" id="1" name="BeautyCcMarkability" displayName="BeautyCcMarkability" ref="A3:I156" headerRowCount="1" totalsRowCount="0" totalsRowShown="0">
  <x:autoFilter ref="A3:I156"/>
  <x:tableColumns count="9">
    <x:tableColumn id="1" name="Артикул CC"/>
    <x:tableColumn id="2" name="Наименование"/>
    <x:tableColumn id="3" name="Модель"/>
    <x:tableColumn id="4" name="Артикул SKU"/>
    <x:tableColumn id="5" name="Целевая группа"/>
    <x:tableColumn id="6" name="Департамент"/>
    <x:tableColumn id="7" name="Категория"/>
    <x:tableColumn id="8" name="Маркируемый"/>
    <x:tableColumn id="9" name="mark_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ac9f9ee53340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4" hidden="0" customWidth="1"/>
    <x:col min="4" max="4" width="24" hidden="0" customWidth="1"/>
    <x:col min="5" max="5" width="16" hidden="0" customWidth="1"/>
    <x:col min="6" max="6" width="4" hidden="0" customWidth="1"/>
  </x:cols>
  <x:sheetData>
    <x:row r="1" ht="34" customHeight="1">
      <x:c r="A1" s="50" t="str">
        <x:v>Beauty — маркируемость артикулов CC</x:v>
      </x:c>
      <x:c r="B1" s="50"/>
      <x:c r="C1" s="50"/>
      <x:c r="D1" s="50"/>
      <x:c r="E1" s="50"/>
      <x:c r="F1" s="50"/>
    </x:row>
    <x:row r="3">
      <x:c r="A3" s="12" t="str">
        <x:v>Показатель</x:v>
      </x:c>
      <x:c r="B3" s="13" t="str">
        <x:v>Значение</x:v>
      </x:c>
      <x:c r="D3" s="12" t="str">
        <x:v>Контроль</x:v>
      </x:c>
      <x:c r="E3" s="13" t="str">
        <x:v>Значение</x:v>
      </x:c>
    </x:row>
    <x:row r="4">
      <x:c r="A4" s="14" t="str">
        <x:v>Всего артикулов CC</x:v>
      </x:c>
      <x:c r="B4" s="19" t="n">
        <x:f>COUNTA('Артикулы CC'!$A$4:$A$156)</x:f>
        <x:v>153</x:v>
      </x:c>
      <x:c r="D4" s="14" t="str">
        <x:v>Маркируемых, %</x:v>
      </x:c>
      <x:c r="E4" s="18" t="n">
        <x:f>B5/B4</x:f>
        <x:v>0.8431372549019608</x:v>
      </x:c>
    </x:row>
    <x:row r="5">
      <x:c r="A5" s="14" t="str">
        <x:v>Маркируемые</x:v>
      </x:c>
      <x:c r="B5" s="19" t="n">
        <x:f>COUNTIF('Артикулы CC'!$H$4:$H$156,"Да")</x:f>
        <x:v>129</x:v>
      </x:c>
      <x:c r="D5" s="14" t="str">
        <x:v>Строк с mark_type=1</x:v>
      </x:c>
      <x:c r="E5" s="19" t="n">
        <x:f>COUNTIF('Артикулы CC'!$I$4:$I$156,1)</x:f>
        <x:v>129</x:v>
      </x:c>
    </x:row>
    <x:row r="6">
      <x:c r="A6" s="16" t="str">
        <x:v>Не маркируемые</x:v>
      </x:c>
      <x:c r="B6" s="20" t="n">
        <x:f>COUNTIF('Артикулы CC'!$H$4:$H$156,"Нет")</x:f>
        <x:v>24</x:v>
      </x:c>
      <x:c r="D6" s="16" t="str">
        <x:v>Строк с mark_type=0</x:v>
      </x:c>
      <x:c r="E6" s="20" t="n">
        <x:f>COUNTIF('Артикулы CC'!$I$4:$I$156,0)</x:f>
        <x:v>24</x:v>
      </x:c>
    </x:row>
    <x:row r="8">
      <x:c r="A8" s="22" t="str">
        <x:v>Определение признака</x:v>
      </x:c>
      <x:c r="B8" s="22"/>
      <x:c r="C8" s="22"/>
      <x:c r="D8" s="22"/>
      <x:c r="E8" s="22"/>
      <x:c r="F8" s="22"/>
    </x:row>
    <x:row r="9">
      <x:c r="A9" s="36" t="str">
        <x:v>Маркируемый = «Да», если PIM sku_products.mark_type &gt; 0. В текущем наборе у каждого CC ровно один SKU; смешанных значений нет.</x:v>
      </x:c>
      <x:c r="B9" s="37"/>
      <x:c r="C9" s="37"/>
      <x:c r="D9" s="37"/>
      <x:c r="E9" s="37"/>
      <x:c r="F9" s="38"/>
    </x:row>
    <x:row r="10">
      <x:c r="A10" s="39"/>
      <x:c r="B10" s="40"/>
      <x:c r="C10" s="40"/>
      <x:c r="D10" s="40"/>
      <x:c r="E10" s="40"/>
      <x:c r="F10" s="41"/>
    </x:row>
    <x:row r="12">
      <x:c r="A12" s="22" t="str">
        <x:v>Источник и срез данных</x:v>
      </x:c>
      <x:c r="B12" s="22"/>
      <x:c r="C12" s="22"/>
      <x:c r="D12" s="22"/>
      <x:c r="E12" s="22"/>
      <x:c r="F12" s="22"/>
    </x:row>
    <x:row r="13">
      <x:c r="A13" s="36" t="str">
        <x:v>Production, снимок 2026-08-19. Beauty CC сверены между ensi-gs-webapi-connector-prod и ensi-gs-pim-prod: 153 = 153, расхождений нет.</x:v>
      </x:c>
      <x:c r="B13" s="37"/>
      <x:c r="C13" s="37"/>
      <x:c r="D13" s="37"/>
      <x:c r="E13" s="37"/>
      <x:c r="F13" s="38"/>
    </x:row>
    <x:row r="14">
      <x:c r="A14" s="47"/>
      <x:c r="B14" s="48"/>
      <x:c r="C14" s="48"/>
      <x:c r="D14" s="48"/>
      <x:c r="E14" s="48"/>
      <x:c r="F14" s="49"/>
    </x:row>
    <x:row r="15">
      <x:c r="A15" s="39"/>
      <x:c r="B15" s="40"/>
      <x:c r="C15" s="40"/>
      <x:c r="D15" s="40"/>
      <x:c r="E15" s="40"/>
      <x:c r="F15" s="41"/>
    </x:row>
  </x:sheetData>
  <x:mergeCells>
    <x:mergeCell ref="A1:F1"/>
    <x:mergeCell ref="A8:F8"/>
    <x:mergeCell ref="A9:F10"/>
    <x:mergeCell ref="A12:F12"/>
    <x:mergeCell ref="A13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16" hidden="0" customWidth="1"/>
    <x:col min="4" max="4" width="20" hidden="0" customWidth="1"/>
    <x:col min="5" max="5" width="18" hidden="0" customWidth="1"/>
    <x:col min="6" max="6" width="22" hidden="0" customWidth="1"/>
    <x:col min="7" max="7" width="20" hidden="0" customWidth="1"/>
    <x:col min="8" max="8" width="16" hidden="0" customWidth="1"/>
    <x:col min="9" max="9" width="12" hidden="0" customWidth="1"/>
  </x:cols>
  <x:sheetData>
    <x:row r="1" ht="30" customHeight="1">
      <x:c r="A1" s="53" t="str">
        <x:v>Список Beauty артикулов CC и признак маркировки</x:v>
      </x:c>
      <x:c r="B1" s="53"/>
      <x:c r="C1" s="53"/>
      <x:c r="D1" s="53"/>
      <x:c r="E1" s="53"/>
      <x:c r="F1" s="53"/>
      <x:c r="G1" s="53"/>
      <x:c r="H1" s="53"/>
      <x:c r="I1" s="53"/>
    </x:row>
    <x:row r="2">
      <x:c r="A2" s="54" t="str">
        <x:v>Production-срез 2026-08-19 · Маркируемый: mark_type &gt; 0 · Источники: WebAPI Connector + PIM</x:v>
      </x:c>
      <x:c r="B2" s="54"/>
      <x:c r="C2" s="54"/>
      <x:c r="D2" s="54"/>
      <x:c r="E2" s="54"/>
      <x:c r="F2" s="54"/>
      <x:c r="G2" s="54"/>
      <x:c r="H2" s="54"/>
      <x:c r="I2" s="54"/>
    </x:row>
    <x:row r="3" ht="30" customHeight="1">
      <x:c r="A3" s="56" t="str">
        <x:v>Артикул CC</x:v>
      </x:c>
      <x:c r="B3" s="56" t="str">
        <x:v>Наименование</x:v>
      </x:c>
      <x:c r="C3" s="56" t="str">
        <x:v>Модель</x:v>
      </x:c>
      <x:c r="D3" s="56" t="str">
        <x:v>Артикул SKU</x:v>
      </x:c>
      <x:c r="E3" s="56" t="str">
        <x:v>Целевая группа</x:v>
      </x:c>
      <x:c r="F3" s="56" t="str">
        <x:v>Департамент</x:v>
      </x:c>
      <x:c r="G3" s="56" t="str">
        <x:v>Категория</x:v>
      </x:c>
      <x:c r="H3" s="56" t="str">
        <x:v>Маркируемый</x:v>
      </x:c>
      <x:c r="I3" s="56" t="str">
        <x:v>mark_type</x:v>
      </x:c>
    </x:row>
    <x:row r="4">
      <x:c r="A4" s="58" t="str">
        <x:v>GBU000001-1</x:v>
      </x:c>
      <x:c r="B4" s="62" t="str">
        <x:v>Лайнер для губ GBU000001 малиновый</x:v>
      </x:c>
      <x:c r="C4" s="58" t="str">
        <x:v>GBU000001</x:v>
      </x:c>
      <x:c r="D4" s="58" t="str">
        <x:v>GBU000001F0001</x:v>
      </x:c>
      <x:c r="E4" s="57" t="str">
        <x:v>Girls 13+</x:v>
      </x:c>
      <x:c r="F4" s="57" t="str">
        <x:v>Color Cosmetics</x:v>
      </x:c>
      <x:c r="G4" s="57" t="str">
        <x:v>Lips</x:v>
      </x:c>
      <x:c r="H4" s="60" t="str">
        <x:f>IF(I4&gt;0,"Да","Нет")</x:f>
        <x:v>Да</x:v>
      </x:c>
      <x:c r="I4" s="61" t="n">
        <x:v>1</x:v>
      </x:c>
    </x:row>
    <x:row r="5">
      <x:c r="A5" s="58" t="str">
        <x:v>GBU000001-2</x:v>
      </x:c>
      <x:c r="B5" s="62" t="str">
        <x:v>Лайнер для губ GBU000001 ярко-розовый</x:v>
      </x:c>
      <x:c r="C5" s="58" t="str">
        <x:v>GBU000001</x:v>
      </x:c>
      <x:c r="D5" s="58" t="str">
        <x:v>GBU000001F0003</x:v>
      </x:c>
      <x:c r="E5" s="57" t="str">
        <x:v>Girls 13+</x:v>
      </x:c>
      <x:c r="F5" s="57" t="str">
        <x:v>Color Cosmetics</x:v>
      </x:c>
      <x:c r="G5" s="57" t="str">
        <x:v>Lips</x:v>
      </x:c>
      <x:c r="H5" s="60" t="str">
        <x:f>IF(I5&gt;0,"Да","Нет")</x:f>
        <x:v>Да</x:v>
      </x:c>
      <x:c r="I5" s="61" t="n">
        <x:v>1</x:v>
      </x:c>
    </x:row>
    <x:row r="6">
      <x:c r="A6" s="58" t="str">
        <x:v>GBU000001-3</x:v>
      </x:c>
      <x:c r="B6" s="62" t="str">
        <x:v>Лайнер для губ GBU000001 розовый/бежевый</x:v>
      </x:c>
      <x:c r="C6" s="58" t="str">
        <x:v>GBU000001</x:v>
      </x:c>
      <x:c r="D6" s="58" t="str">
        <x:v>GBU000001F0002</x:v>
      </x:c>
      <x:c r="E6" s="57" t="str">
        <x:v>Girls 13+</x:v>
      </x:c>
      <x:c r="F6" s="57" t="str">
        <x:v>Color Cosmetics</x:v>
      </x:c>
      <x:c r="G6" s="57" t="str">
        <x:v>Lips</x:v>
      </x:c>
      <x:c r="H6" s="60" t="str">
        <x:f>IF(I6&gt;0,"Да","Нет")</x:f>
        <x:v>Да</x:v>
      </x:c>
      <x:c r="I6" s="61" t="n">
        <x:v>1</x:v>
      </x:c>
    </x:row>
    <x:row r="7">
      <x:c r="A7" s="58" t="str">
        <x:v>GBU000002-1</x:v>
      </x:c>
      <x:c r="B7" s="62" t="str">
        <x:v>Бальзам для губ GBU000002 прозрачный</x:v>
      </x:c>
      <x:c r="C7" s="58" t="str">
        <x:v>GBU000002</x:v>
      </x:c>
      <x:c r="D7" s="58" t="str">
        <x:v>GBU000002F0002</x:v>
      </x:c>
      <x:c r="E7" s="57" t="str">
        <x:v>Girls 13+</x:v>
      </x:c>
      <x:c r="F7" s="57" t="str">
        <x:v>Color Cosmetics</x:v>
      </x:c>
      <x:c r="G7" s="57" t="str">
        <x:v>Lips</x:v>
      </x:c>
      <x:c r="H7" s="60" t="str">
        <x:f>IF(I7&gt;0,"Да","Нет")</x:f>
        <x:v>Да</x:v>
      </x:c>
      <x:c r="I7" s="61" t="n">
        <x:v>1</x:v>
      </x:c>
    </x:row>
    <x:row r="8">
      <x:c r="A8" s="58" t="str">
        <x:v>GBU000002-2</x:v>
      </x:c>
      <x:c r="B8" s="62" t="str">
        <x:v>Бальзам для губ GBU000002 светло-розовый</x:v>
      </x:c>
      <x:c r="C8" s="58" t="str">
        <x:v>GBU000002</x:v>
      </x:c>
      <x:c r="D8" s="58" t="str">
        <x:v>GBU000002F0004</x:v>
      </x:c>
      <x:c r="E8" s="57" t="str">
        <x:v>Girls 13+</x:v>
      </x:c>
      <x:c r="F8" s="57" t="str">
        <x:v>Color Cosmetics</x:v>
      </x:c>
      <x:c r="G8" s="57" t="str">
        <x:v>Lips</x:v>
      </x:c>
      <x:c r="H8" s="60" t="str">
        <x:f>IF(I8&gt;0,"Да","Нет")</x:f>
        <x:v>Да</x:v>
      </x:c>
      <x:c r="I8" s="61" t="n">
        <x:v>1</x:v>
      </x:c>
    </x:row>
    <x:row r="9">
      <x:c r="A9" s="58" t="str">
        <x:v>GBU000002-3</x:v>
      </x:c>
      <x:c r="B9" s="62" t="str">
        <x:v>Бальзам для губ GBU000002 розовый/бежевый</x:v>
      </x:c>
      <x:c r="C9" s="58" t="str">
        <x:v>GBU000002</x:v>
      </x:c>
      <x:c r="D9" s="58" t="str">
        <x:v>GBU000002F0003</x:v>
      </x:c>
      <x:c r="E9" s="57" t="str">
        <x:v>Girls 13+</x:v>
      </x:c>
      <x:c r="F9" s="57" t="str">
        <x:v>Color Cosmetics</x:v>
      </x:c>
      <x:c r="G9" s="57" t="str">
        <x:v>Lips</x:v>
      </x:c>
      <x:c r="H9" s="60" t="str">
        <x:f>IF(I9&gt;0,"Да","Нет")</x:f>
        <x:v>Да</x:v>
      </x:c>
      <x:c r="I9" s="61" t="n">
        <x:v>1</x:v>
      </x:c>
    </x:row>
    <x:row r="10">
      <x:c r="A10" s="58" t="str">
        <x:v>GBU000002-4</x:v>
      </x:c>
      <x:c r="B10" s="62" t="str">
        <x:v>Бальзам для губ GBU000002 малиновый</x:v>
      </x:c>
      <x:c r="C10" s="58" t="str">
        <x:v>GBU000002</x:v>
      </x:c>
      <x:c r="D10" s="58" t="str">
        <x:v>GBU000002F0001</x:v>
      </x:c>
      <x:c r="E10" s="57" t="str">
        <x:v>Girls 13+</x:v>
      </x:c>
      <x:c r="F10" s="57" t="str">
        <x:v>Color Cosmetics</x:v>
      </x:c>
      <x:c r="G10" s="57" t="str">
        <x:v>Lips</x:v>
      </x:c>
      <x:c r="H10" s="60" t="str">
        <x:f>IF(I10&gt;0,"Да","Нет")</x:f>
        <x:v>Да</x:v>
      </x:c>
      <x:c r="I10" s="61" t="n">
        <x:v>1</x:v>
      </x:c>
    </x:row>
    <x:row r="11">
      <x:c r="A11" s="58" t="str">
        <x:v>GBU000003-1</x:v>
      </x:c>
      <x:c r="B11" s="62" t="str">
        <x:v>Тени для век GBU000003 коричневый</x:v>
      </x:c>
      <x:c r="C11" s="58" t="str">
        <x:v>GBU000003</x:v>
      </x:c>
      <x:c r="D11" s="58" t="str">
        <x:v>GBU000003F0002</x:v>
      </x:c>
      <x:c r="E11" s="57" t="str">
        <x:v>Girls 13+</x:v>
      </x:c>
      <x:c r="F11" s="57" t="str">
        <x:v>Color Cosmetics</x:v>
      </x:c>
      <x:c r="G11" s="57" t="str">
        <x:v>Eyes</x:v>
      </x:c>
      <x:c r="H11" s="60" t="str">
        <x:f>IF(I11&gt;0,"Да","Нет")</x:f>
        <x:v>Да</x:v>
      </x:c>
      <x:c r="I11" s="61" t="n">
        <x:v>1</x:v>
      </x:c>
    </x:row>
    <x:row r="12">
      <x:c r="A12" s="58" t="str">
        <x:v>GBU000003-2</x:v>
      </x:c>
      <x:c r="B12" s="62" t="str">
        <x:v>Тени для век GBU000003 светло-коричневый</x:v>
      </x:c>
      <x:c r="C12" s="58" t="str">
        <x:v>GBU000003</x:v>
      </x:c>
      <x:c r="D12" s="58" t="str">
        <x:v>GBU000003F0004</x:v>
      </x:c>
      <x:c r="E12" s="57" t="str">
        <x:v>Girls 13+</x:v>
      </x:c>
      <x:c r="F12" s="57" t="str">
        <x:v>Color Cosmetics</x:v>
      </x:c>
      <x:c r="G12" s="57" t="str">
        <x:v>Eyes</x:v>
      </x:c>
      <x:c r="H12" s="60" t="str">
        <x:f>IF(I12&gt;0,"Да","Нет")</x:f>
        <x:v>Да</x:v>
      </x:c>
      <x:c r="I12" s="61" t="n">
        <x:v>1</x:v>
      </x:c>
    </x:row>
    <x:row r="13">
      <x:c r="A13" s="58" t="str">
        <x:v>GBU000003-3</x:v>
      </x:c>
      <x:c r="B13" s="62" t="str">
        <x:v>Тени для век GBU000003 бежевый</x:v>
      </x:c>
      <x:c r="C13" s="58" t="str">
        <x:v>GBU000003</x:v>
      </x:c>
      <x:c r="D13" s="58" t="str">
        <x:v>GBU000003F0001</x:v>
      </x:c>
      <x:c r="E13" s="57" t="str">
        <x:v>Girls 13+</x:v>
      </x:c>
      <x:c r="F13" s="57" t="str">
        <x:v>Color Cosmetics</x:v>
      </x:c>
      <x:c r="G13" s="57" t="str">
        <x:v>Eyes</x:v>
      </x:c>
      <x:c r="H13" s="60" t="str">
        <x:f>IF(I13&gt;0,"Да","Нет")</x:f>
        <x:v>Да</x:v>
      </x:c>
      <x:c r="I13" s="61" t="n">
        <x:v>1</x:v>
      </x:c>
    </x:row>
    <x:row r="14">
      <x:c r="A14" s="58" t="str">
        <x:v>GBU000003-4</x:v>
      </x:c>
      <x:c r="B14" s="62" t="str">
        <x:v>Тени для век GBU000003 розовый</x:v>
      </x:c>
      <x:c r="C14" s="58" t="str">
        <x:v>GBU000003</x:v>
      </x:c>
      <x:c r="D14" s="58" t="str">
        <x:v>GBU000003F0003</x:v>
      </x:c>
      <x:c r="E14" s="57" t="str">
        <x:v>Girls 13+</x:v>
      </x:c>
      <x:c r="F14" s="57" t="str">
        <x:v>Color Cosmetics</x:v>
      </x:c>
      <x:c r="G14" s="57" t="str">
        <x:v>Eyes</x:v>
      </x:c>
      <x:c r="H14" s="60" t="str">
        <x:f>IF(I14&gt;0,"Да","Нет")</x:f>
        <x:v>Да</x:v>
      </x:c>
      <x:c r="I14" s="61" t="n">
        <x:v>1</x:v>
      </x:c>
    </x:row>
    <x:row r="15">
      <x:c r="A15" s="58" t="str">
        <x:v>GBU000004-1</x:v>
      </x:c>
      <x:c r="B15" s="62" t="str">
        <x:v>Сумочка для косметики GBU000004 разноцветный</x:v>
      </x:c>
      <x:c r="C15" s="58" t="str">
        <x:v>GBU000004</x:v>
      </x:c>
      <x:c r="D15" s="58" t="str">
        <x:v>GBU000004F0001</x:v>
      </x:c>
      <x:c r="E15" s="57" t="str">
        <x:v>Girls 13+</x:v>
      </x:c>
      <x:c r="F15" s="57" t="str">
        <x:v>Accessories Beauty</x:v>
      </x:c>
      <x:c r="G15" s="57" t="str">
        <x:v>Color cosmetic</x:v>
      </x:c>
      <x:c r="H15" s="60" t="str">
        <x:f>IF(I15&gt;0,"Да","Нет")</x:f>
        <x:v>Нет</x:v>
      </x:c>
      <x:c r="I15" s="61" t="n">
        <x:v>0</x:v>
      </x:c>
    </x:row>
    <x:row r="16">
      <x:c r="A16" s="58" t="str">
        <x:v>GBU000005-1</x:v>
      </x:c>
      <x:c r="B16" s="62" t="str">
        <x:v>Масло для губ GBU000005 темно-малиновый</x:v>
      </x:c>
      <x:c r="C16" s="58" t="str">
        <x:v>GBU000005</x:v>
      </x:c>
      <x:c r="D16" s="58" t="str">
        <x:v>GBU000005F0004</x:v>
      </x:c>
      <x:c r="E16" s="57" t="str">
        <x:v>Girls 13+</x:v>
      </x:c>
      <x:c r="F16" s="57" t="str">
        <x:v>Color Cosmetics</x:v>
      </x:c>
      <x:c r="G16" s="57" t="str">
        <x:v>Lips</x:v>
      </x:c>
      <x:c r="H16" s="60" t="str">
        <x:f>IF(I16&gt;0,"Да","Нет")</x:f>
        <x:v>Да</x:v>
      </x:c>
      <x:c r="I16" s="61" t="n">
        <x:v>1</x:v>
      </x:c>
    </x:row>
    <x:row r="17">
      <x:c r="A17" s="58" t="str">
        <x:v>GBU000005-2</x:v>
      </x:c>
      <x:c r="B17" s="62" t="str">
        <x:v>Масло для губ GBU000005 малиновый</x:v>
      </x:c>
      <x:c r="C17" s="58" t="str">
        <x:v>GBU000005</x:v>
      </x:c>
      <x:c r="D17" s="58" t="str">
        <x:v>GBU000005F0001</x:v>
      </x:c>
      <x:c r="E17" s="57" t="str">
        <x:v>Girls 13+</x:v>
      </x:c>
      <x:c r="F17" s="57" t="str">
        <x:v>Color Cosmetics</x:v>
      </x:c>
      <x:c r="G17" s="57" t="str">
        <x:v>Lips</x:v>
      </x:c>
      <x:c r="H17" s="60" t="str">
        <x:f>IF(I17&gt;0,"Да","Нет")</x:f>
        <x:v>Да</x:v>
      </x:c>
      <x:c r="I17" s="61" t="n">
        <x:v>1</x:v>
      </x:c>
    </x:row>
    <x:row r="18">
      <x:c r="A18" s="58" t="str">
        <x:v>GBU000005-3</x:v>
      </x:c>
      <x:c r="B18" s="62" t="str">
        <x:v>Масло для губ GBU000005 светло-розовый</x:v>
      </x:c>
      <x:c r="C18" s="58" t="str">
        <x:v>GBU000005</x:v>
      </x:c>
      <x:c r="D18" s="58" t="str">
        <x:v>GBU000005F0003</x:v>
      </x:c>
      <x:c r="E18" s="57" t="str">
        <x:v>Girls 13+</x:v>
      </x:c>
      <x:c r="F18" s="57" t="str">
        <x:v>Color Cosmetics</x:v>
      </x:c>
      <x:c r="G18" s="57" t="str">
        <x:v>Lips</x:v>
      </x:c>
      <x:c r="H18" s="60" t="str">
        <x:f>IF(I18&gt;0,"Да","Нет")</x:f>
        <x:v>Да</x:v>
      </x:c>
      <x:c r="I18" s="61" t="n">
        <x:v>1</x:v>
      </x:c>
    </x:row>
    <x:row r="19">
      <x:c r="A19" s="58" t="str">
        <x:v>GBU000005-4</x:v>
      </x:c>
      <x:c r="B19" s="62" t="str">
        <x:v>Масло для губ GBU000005 прозрачный</x:v>
      </x:c>
      <x:c r="C19" s="58" t="str">
        <x:v>GBU000005</x:v>
      </x:c>
      <x:c r="D19" s="58" t="str">
        <x:v>GBU000005F0002</x:v>
      </x:c>
      <x:c r="E19" s="57" t="str">
        <x:v>Girls 13+</x:v>
      </x:c>
      <x:c r="F19" s="57" t="str">
        <x:v>Color Cosmetics</x:v>
      </x:c>
      <x:c r="G19" s="57" t="str">
        <x:v>Lips</x:v>
      </x:c>
      <x:c r="H19" s="60" t="str">
        <x:f>IF(I19&gt;0,"Да","Нет")</x:f>
        <x:v>Да</x:v>
      </x:c>
      <x:c r="I19" s="61" t="n">
        <x:v>1</x:v>
      </x:c>
    </x:row>
    <x:row r="20">
      <x:c r="A20" s="58" t="str">
        <x:v>GBU000006-1</x:v>
      </x:c>
      <x:c r="B20" s="62" t="str">
        <x:v>Набор кистей для макияжа GBU000006 белый</x:v>
      </x:c>
      <x:c r="C20" s="58" t="str">
        <x:v>GBU000006</x:v>
      </x:c>
      <x:c r="D20" s="58" t="str">
        <x:v>GBU000006F0001</x:v>
      </x:c>
      <x:c r="E20" s="57" t="str">
        <x:v>Girls 13+</x:v>
      </x:c>
      <x:c r="F20" s="57" t="str">
        <x:v>Accessories Beauty</x:v>
      </x:c>
      <x:c r="G20" s="57" t="str">
        <x:v>Color cosmetic</x:v>
      </x:c>
      <x:c r="H20" s="60" t="str">
        <x:f>IF(I20&gt;0,"Да","Нет")</x:f>
        <x:v>Нет</x:v>
      </x:c>
      <x:c r="I20" s="61" t="n">
        <x:v>0</x:v>
      </x:c>
    </x:row>
    <x:row r="21">
      <x:c r="A21" s="58" t="str">
        <x:v>GBU000007-1</x:v>
      </x:c>
      <x:c r="B21" s="62" t="str">
        <x:v>Тушь для ресниц GBU000007 черный</x:v>
      </x:c>
      <x:c r="C21" s="58" t="str">
        <x:v>GBU000007</x:v>
      </x:c>
      <x:c r="D21" s="58" t="str">
        <x:v>GBU000007F0005</x:v>
      </x:c>
      <x:c r="E21" s="57" t="str">
        <x:v>Girls 13+</x:v>
      </x:c>
      <x:c r="F21" s="57" t="str">
        <x:v>Color Cosmetics</x:v>
      </x:c>
      <x:c r="G21" s="57" t="str">
        <x:v>Eyes</x:v>
      </x:c>
      <x:c r="H21" s="60" t="str">
        <x:f>IF(I21&gt;0,"Да","Нет")</x:f>
        <x:v>Да</x:v>
      </x:c>
      <x:c r="I21" s="61" t="n">
        <x:v>1</x:v>
      </x:c>
    </x:row>
    <x:row r="22">
      <x:c r="A22" s="58" t="str">
        <x:v>GBU000007-2</x:v>
      </x:c>
      <x:c r="B22" s="62" t="str">
        <x:v>Тушь для ресниц GBU000007 коричневый</x:v>
      </x:c>
      <x:c r="C22" s="58" t="str">
        <x:v>GBU000007</x:v>
      </x:c>
      <x:c r="D22" s="58" t="str">
        <x:v>GBU000007F0002</x:v>
      </x:c>
      <x:c r="E22" s="57" t="str">
        <x:v>Girls 13+</x:v>
      </x:c>
      <x:c r="F22" s="57" t="str">
        <x:v>Color Cosmetics</x:v>
      </x:c>
      <x:c r="G22" s="57" t="str">
        <x:v>Eyes</x:v>
      </x:c>
      <x:c r="H22" s="60" t="str">
        <x:f>IF(I22&gt;0,"Да","Нет")</x:f>
        <x:v>Да</x:v>
      </x:c>
      <x:c r="I22" s="61" t="n">
        <x:v>1</x:v>
      </x:c>
    </x:row>
    <x:row r="23">
      <x:c r="A23" s="58" t="str">
        <x:v>GBU000007-3</x:v>
      </x:c>
      <x:c r="B23" s="62" t="str">
        <x:v>Тушь для ресниц GBU000007 розовый</x:v>
      </x:c>
      <x:c r="C23" s="58" t="str">
        <x:v>GBU000007</x:v>
      </x:c>
      <x:c r="D23" s="58" t="str">
        <x:v>GBU000007F0003</x:v>
      </x:c>
      <x:c r="E23" s="57" t="str">
        <x:v>Girls 13+</x:v>
      </x:c>
      <x:c r="F23" s="57" t="str">
        <x:v>Color Cosmetics</x:v>
      </x:c>
      <x:c r="G23" s="57" t="str">
        <x:v>Eyes</x:v>
      </x:c>
      <x:c r="H23" s="60" t="str">
        <x:f>IF(I23&gt;0,"Да","Нет")</x:f>
        <x:v>Да</x:v>
      </x:c>
      <x:c r="I23" s="61" t="n">
        <x:v>1</x:v>
      </x:c>
    </x:row>
    <x:row r="24">
      <x:c r="A24" s="58" t="str">
        <x:v>GBU000007-4</x:v>
      </x:c>
      <x:c r="B24" s="62" t="str">
        <x:v>Тушь для ресниц GBU000007 синий</x:v>
      </x:c>
      <x:c r="C24" s="58" t="str">
        <x:v>GBU000007</x:v>
      </x:c>
      <x:c r="D24" s="58" t="str">
        <x:v>GBU000007F0004</x:v>
      </x:c>
      <x:c r="E24" s="57" t="str">
        <x:v>Girls 13+</x:v>
      </x:c>
      <x:c r="F24" s="57" t="str">
        <x:v>Color Cosmetics</x:v>
      </x:c>
      <x:c r="G24" s="57" t="str">
        <x:v>Eyes</x:v>
      </x:c>
      <x:c r="H24" s="60" t="str">
        <x:f>IF(I24&gt;0,"Да","Нет")</x:f>
        <x:v>Да</x:v>
      </x:c>
      <x:c r="I24" s="61" t="n">
        <x:v>1</x:v>
      </x:c>
    </x:row>
    <x:row r="25">
      <x:c r="A25" s="58" t="str">
        <x:v>GBU000007-5</x:v>
      </x:c>
      <x:c r="B25" s="62" t="str">
        <x:v>Тушь для ресниц GBU000007 зеленый</x:v>
      </x:c>
      <x:c r="C25" s="58" t="str">
        <x:v>GBU000007</x:v>
      </x:c>
      <x:c r="D25" s="58" t="str">
        <x:v>GBU000007F0001</x:v>
      </x:c>
      <x:c r="E25" s="57" t="str">
        <x:v>Girls 13+</x:v>
      </x:c>
      <x:c r="F25" s="57" t="str">
        <x:v>Color Cosmetics</x:v>
      </x:c>
      <x:c r="G25" s="57" t="str">
        <x:v>Eyes</x:v>
      </x:c>
      <x:c r="H25" s="60" t="str">
        <x:f>IF(I25&gt;0,"Да","Нет")</x:f>
        <x:v>Да</x:v>
      </x:c>
      <x:c r="I25" s="61" t="n">
        <x:v>1</x:v>
      </x:c>
    </x:row>
    <x:row r="26">
      <x:c r="A26" s="58" t="str">
        <x:v>GBU000008-1</x:v>
      </x:c>
      <x:c r="B26" s="62" t="str">
        <x:v>Блеск для губ GBU000008 розовый/бежевый</x:v>
      </x:c>
      <x:c r="C26" s="58" t="str">
        <x:v>GBU000008</x:v>
      </x:c>
      <x:c r="D26" s="58" t="str">
        <x:v>GBU000008F0003</x:v>
      </x:c>
      <x:c r="E26" s="57" t="str">
        <x:v>Girls 13+</x:v>
      </x:c>
      <x:c r="F26" s="57" t="str">
        <x:v>Color Cosmetics</x:v>
      </x:c>
      <x:c r="G26" s="57" t="str">
        <x:v>Lips</x:v>
      </x:c>
      <x:c r="H26" s="60" t="str">
        <x:f>IF(I26&gt;0,"Да","Нет")</x:f>
        <x:v>Да</x:v>
      </x:c>
      <x:c r="I26" s="61" t="n">
        <x:v>1</x:v>
      </x:c>
    </x:row>
    <x:row r="27">
      <x:c r="A27" s="58" t="str">
        <x:v>GBU000008-2</x:v>
      </x:c>
      <x:c r="B27" s="62" t="str">
        <x:v>Блеск для губ GBU000008 розовый</x:v>
      </x:c>
      <x:c r="C27" s="58" t="str">
        <x:v>GBU000008</x:v>
      </x:c>
      <x:c r="D27" s="58" t="str">
        <x:v>GBU000008F0002</x:v>
      </x:c>
      <x:c r="E27" s="57" t="str">
        <x:v>Girls 13+</x:v>
      </x:c>
      <x:c r="F27" s="57" t="str">
        <x:v>Color Cosmetics</x:v>
      </x:c>
      <x:c r="G27" s="57" t="str">
        <x:v>Lips</x:v>
      </x:c>
      <x:c r="H27" s="60" t="str">
        <x:f>IF(I27&gt;0,"Да","Нет")</x:f>
        <x:v>Да</x:v>
      </x:c>
      <x:c r="I27" s="61" t="n">
        <x:v>1</x:v>
      </x:c>
    </x:row>
    <x:row r="28">
      <x:c r="A28" s="58" t="str">
        <x:v>GBU000008-3</x:v>
      </x:c>
      <x:c r="B28" s="62" t="str">
        <x:v>Блеск для губ GBU000008 красный</x:v>
      </x:c>
      <x:c r="C28" s="58" t="str">
        <x:v>GBU000008</x:v>
      </x:c>
      <x:c r="D28" s="58" t="str">
        <x:v>GBU000008F0001</x:v>
      </x:c>
      <x:c r="E28" s="57" t="str">
        <x:v>Girls 13+</x:v>
      </x:c>
      <x:c r="F28" s="57" t="str">
        <x:v>Color Cosmetics</x:v>
      </x:c>
      <x:c r="G28" s="57" t="str">
        <x:v>Lips</x:v>
      </x:c>
      <x:c r="H28" s="60" t="str">
        <x:f>IF(I28&gt;0,"Да","Нет")</x:f>
        <x:v>Да</x:v>
      </x:c>
      <x:c r="I28" s="61" t="n">
        <x:v>1</x:v>
      </x:c>
    </x:row>
    <x:row r="29">
      <x:c r="A29" s="58" t="str">
        <x:v>GBU000009-1</x:v>
      </x:c>
      <x:c r="B29" s="62" t="str">
        <x:v>Тинт для губ GBU000009 малиновый</x:v>
      </x:c>
      <x:c r="C29" s="58" t="str">
        <x:v>GBU000009</x:v>
      </x:c>
      <x:c r="D29" s="58" t="str">
        <x:v>GBU000009F0002</x:v>
      </x:c>
      <x:c r="E29" s="57" t="str">
        <x:v>Girls 13+</x:v>
      </x:c>
      <x:c r="F29" s="57" t="str">
        <x:v>Color Cosmetics</x:v>
      </x:c>
      <x:c r="G29" s="57" t="str">
        <x:v>Lips</x:v>
      </x:c>
      <x:c r="H29" s="60" t="str">
        <x:f>IF(I29&gt;0,"Да","Нет")</x:f>
        <x:v>Да</x:v>
      </x:c>
      <x:c r="I29" s="61" t="n">
        <x:v>1</x:v>
      </x:c>
    </x:row>
    <x:row r="30">
      <x:c r="A30" s="58" t="str">
        <x:v>GBU000009-2</x:v>
      </x:c>
      <x:c r="B30" s="62" t="str">
        <x:v>Тинт для губ GBU000009 ярко-розовый</x:v>
      </x:c>
      <x:c r="C30" s="58" t="str">
        <x:v>GBU000009</x:v>
      </x:c>
      <x:c r="D30" s="58" t="str">
        <x:v>GBU000009F0004</x:v>
      </x:c>
      <x:c r="E30" s="57" t="str">
        <x:v>Girls 13+</x:v>
      </x:c>
      <x:c r="F30" s="57" t="str">
        <x:v>Color Cosmetics</x:v>
      </x:c>
      <x:c r="G30" s="57" t="str">
        <x:v>Lips</x:v>
      </x:c>
      <x:c r="H30" s="60" t="str">
        <x:f>IF(I30&gt;0,"Да","Нет")</x:f>
        <x:v>Да</x:v>
      </x:c>
      <x:c r="I30" s="61" t="n">
        <x:v>1</x:v>
      </x:c>
    </x:row>
    <x:row r="31">
      <x:c r="A31" s="58" t="str">
        <x:v>GBU000009-3</x:v>
      </x:c>
      <x:c r="B31" s="62" t="str">
        <x:v>Тинт для губ GBU000009 розовый/бежевый</x:v>
      </x:c>
      <x:c r="C31" s="58" t="str">
        <x:v>GBU000009</x:v>
      </x:c>
      <x:c r="D31" s="58" t="str">
        <x:v>GBU000009F0003</x:v>
      </x:c>
      <x:c r="E31" s="57" t="str">
        <x:v>Girls 13+</x:v>
      </x:c>
      <x:c r="F31" s="57" t="str">
        <x:v>Color Cosmetics</x:v>
      </x:c>
      <x:c r="G31" s="57" t="str">
        <x:v>Lips</x:v>
      </x:c>
      <x:c r="H31" s="60" t="str">
        <x:f>IF(I31&gt;0,"Да","Нет")</x:f>
        <x:v>Да</x:v>
      </x:c>
      <x:c r="I31" s="61" t="n">
        <x:v>1</x:v>
      </x:c>
    </x:row>
    <x:row r="32">
      <x:c r="A32" s="58" t="str">
        <x:v>GBU000009-4</x:v>
      </x:c>
      <x:c r="B32" s="62" t="str">
        <x:v>Тинт для губ GBU000009 красный</x:v>
      </x:c>
      <x:c r="C32" s="58" t="str">
        <x:v>GBU000009</x:v>
      </x:c>
      <x:c r="D32" s="58" t="str">
        <x:v>GBU000009F0001</x:v>
      </x:c>
      <x:c r="E32" s="57" t="str">
        <x:v>Girls 13+</x:v>
      </x:c>
      <x:c r="F32" s="57" t="str">
        <x:v>Color Cosmetics</x:v>
      </x:c>
      <x:c r="G32" s="57" t="str">
        <x:v>Lips</x:v>
      </x:c>
      <x:c r="H32" s="60" t="str">
        <x:f>IF(I32&gt;0,"Да","Нет")</x:f>
        <x:v>Да</x:v>
      </x:c>
      <x:c r="I32" s="61" t="n">
        <x:v>1</x:v>
      </x:c>
    </x:row>
    <x:row r="33">
      <x:c r="A33" s="58" t="str">
        <x:v>GBU000010-1</x:v>
      </x:c>
      <x:c r="B33" s="62" t="str">
        <x:v>Набор теней для век GBU000010 разноцветный/розовый</x:v>
      </x:c>
      <x:c r="C33" s="58" t="str">
        <x:v>GBU000010</x:v>
      </x:c>
      <x:c r="D33" s="58" t="str">
        <x:v>GBU000010F0002</x:v>
      </x:c>
      <x:c r="E33" s="57" t="str">
        <x:v>Girls 13+</x:v>
      </x:c>
      <x:c r="F33" s="57" t="str">
        <x:v>Color Cosmetics</x:v>
      </x:c>
      <x:c r="G33" s="57" t="str">
        <x:v>Eyes</x:v>
      </x:c>
      <x:c r="H33" s="60" t="str">
        <x:f>IF(I33&gt;0,"Да","Нет")</x:f>
        <x:v>Да</x:v>
      </x:c>
      <x:c r="I33" s="61" t="n">
        <x:v>1</x:v>
      </x:c>
    </x:row>
    <x:row r="34">
      <x:c r="A34" s="58" t="str">
        <x:v>GBU000010-2</x:v>
      </x:c>
      <x:c r="B34" s="62" t="str">
        <x:v>Набор теней для век GBU000010 разноцветный</x:v>
      </x:c>
      <x:c r="C34" s="58" t="str">
        <x:v>GBU000010</x:v>
      </x:c>
      <x:c r="D34" s="58" t="str">
        <x:v>GBU000010F0001</x:v>
      </x:c>
      <x:c r="E34" s="57" t="str">
        <x:v>Girls 13+</x:v>
      </x:c>
      <x:c r="F34" s="57" t="str">
        <x:v>Color Cosmetics</x:v>
      </x:c>
      <x:c r="G34" s="57" t="str">
        <x:v>Eyes</x:v>
      </x:c>
      <x:c r="H34" s="60" t="str">
        <x:f>IF(I34&gt;0,"Да","Нет")</x:f>
        <x:v>Да</x:v>
      </x:c>
      <x:c r="I34" s="61" t="n">
        <x:v>1</x:v>
      </x:c>
    </x:row>
    <x:row r="35">
      <x:c r="A35" s="58" t="str">
        <x:v>GBU000011-1</x:v>
      </x:c>
      <x:c r="B35" s="62" t="str">
        <x:v>Румяна GBU000011 красный</x:v>
      </x:c>
      <x:c r="C35" s="58" t="str">
        <x:v>GBU000011</x:v>
      </x:c>
      <x:c r="D35" s="58" t="str">
        <x:v>GBU000011F0001</x:v>
      </x:c>
      <x:c r="E35" s="57" t="str">
        <x:v>Girls 13+</x:v>
      </x:c>
      <x:c r="F35" s="57" t="str">
        <x:v>Color Cosmetics</x:v>
      </x:c>
      <x:c r="G35" s="57" t="str">
        <x:v>Face</x:v>
      </x:c>
      <x:c r="H35" s="60" t="str">
        <x:f>IF(I35&gt;0,"Да","Нет")</x:f>
        <x:v>Да</x:v>
      </x:c>
      <x:c r="I35" s="61" t="n">
        <x:v>1</x:v>
      </x:c>
    </x:row>
    <x:row r="36">
      <x:c r="A36" s="58" t="str">
        <x:v>GBU000011-2</x:v>
      </x:c>
      <x:c r="B36" s="62" t="str">
        <x:v>Румяна GBU000011 ярко-розовый</x:v>
      </x:c>
      <x:c r="C36" s="58" t="str">
        <x:v>GBU000011</x:v>
      </x:c>
      <x:c r="D36" s="58" t="str">
        <x:v>GBU000011F0003</x:v>
      </x:c>
      <x:c r="E36" s="57" t="str">
        <x:v>Girls 13+</x:v>
      </x:c>
      <x:c r="F36" s="57" t="str">
        <x:v>Color Cosmetics</x:v>
      </x:c>
      <x:c r="G36" s="57" t="str">
        <x:v>Face</x:v>
      </x:c>
      <x:c r="H36" s="60" t="str">
        <x:f>IF(I36&gt;0,"Да","Нет")</x:f>
        <x:v>Да</x:v>
      </x:c>
      <x:c r="I36" s="61" t="n">
        <x:v>1</x:v>
      </x:c>
    </x:row>
    <x:row r="37">
      <x:c r="A37" s="58" t="str">
        <x:v>GBU000011-3</x:v>
      </x:c>
      <x:c r="B37" s="62" t="str">
        <x:v>Румяна GBU000011 малиновый</x:v>
      </x:c>
      <x:c r="C37" s="58" t="str">
        <x:v>GBU000011</x:v>
      </x:c>
      <x:c r="D37" s="58" t="str">
        <x:v>GBU000011F0002</x:v>
      </x:c>
      <x:c r="E37" s="57" t="str">
        <x:v>Girls 13+</x:v>
      </x:c>
      <x:c r="F37" s="57" t="str">
        <x:v>Color Cosmetics</x:v>
      </x:c>
      <x:c r="G37" s="57" t="str">
        <x:v>Face</x:v>
      </x:c>
      <x:c r="H37" s="60" t="str">
        <x:f>IF(I37&gt;0,"Да","Нет")</x:f>
        <x:v>Да</x:v>
      </x:c>
      <x:c r="I37" s="61" t="n">
        <x:v>1</x:v>
      </x:c>
    </x:row>
    <x:row r="38">
      <x:c r="A38" s="58" t="str">
        <x:v>GBU000012-1</x:v>
      </x:c>
      <x:c r="B38" s="62" t="str">
        <x:v>Тени для век GBU000012 фиолетовый</x:v>
      </x:c>
      <x:c r="C38" s="58" t="str">
        <x:v>GBU000012</x:v>
      </x:c>
      <x:c r="D38" s="58" t="str">
        <x:v>GBU000012F0004</x:v>
      </x:c>
      <x:c r="E38" s="57" t="str">
        <x:v>Girls 13+</x:v>
      </x:c>
      <x:c r="F38" s="57" t="str">
        <x:v>Color Cosmetics</x:v>
      </x:c>
      <x:c r="G38" s="57" t="str">
        <x:v>Eyes</x:v>
      </x:c>
      <x:c r="H38" s="60" t="str">
        <x:f>IF(I38&gt;0,"Да","Нет")</x:f>
        <x:v>Да</x:v>
      </x:c>
      <x:c r="I38" s="61" t="n">
        <x:v>1</x:v>
      </x:c>
    </x:row>
    <x:row r="39">
      <x:c r="A39" s="58" t="str">
        <x:v>GBU000012-2</x:v>
      </x:c>
      <x:c r="B39" s="62" t="str">
        <x:v>Тени для век GBU000012 разноцветный/белый</x:v>
      </x:c>
      <x:c r="C39" s="58" t="str">
        <x:v>GBU000012</x:v>
      </x:c>
      <x:c r="D39" s="58" t="str">
        <x:v>GBU000012F0002</x:v>
      </x:c>
      <x:c r="E39" s="57" t="str">
        <x:v>Girls 13+</x:v>
      </x:c>
      <x:c r="F39" s="57" t="str">
        <x:v>Color Cosmetics</x:v>
      </x:c>
      <x:c r="G39" s="57" t="str">
        <x:v>Eyes</x:v>
      </x:c>
      <x:c r="H39" s="60" t="str">
        <x:f>IF(I39&gt;0,"Да","Нет")</x:f>
        <x:v>Да</x:v>
      </x:c>
      <x:c r="I39" s="61" t="n">
        <x:v>1</x:v>
      </x:c>
    </x:row>
    <x:row r="40">
      <x:c r="A40" s="58" t="str">
        <x:v>GBU000012-3</x:v>
      </x:c>
      <x:c r="B40" s="62" t="str">
        <x:v>Тени для век GBU000012 светло-розовый</x:v>
      </x:c>
      <x:c r="C40" s="58" t="str">
        <x:v>GBU000012</x:v>
      </x:c>
      <x:c r="D40" s="58" t="str">
        <x:v>GBU000012F0003</x:v>
      </x:c>
      <x:c r="E40" s="57" t="str">
        <x:v>Girls 13+</x:v>
      </x:c>
      <x:c r="F40" s="57" t="str">
        <x:v>Color Cosmetics</x:v>
      </x:c>
      <x:c r="G40" s="57" t="str">
        <x:v>Eyes</x:v>
      </x:c>
      <x:c r="H40" s="60" t="str">
        <x:f>IF(I40&gt;0,"Да","Нет")</x:f>
        <x:v>Да</x:v>
      </x:c>
      <x:c r="I40" s="61" t="n">
        <x:v>1</x:v>
      </x:c>
    </x:row>
    <x:row r="41">
      <x:c r="A41" s="58" t="str">
        <x:v>GBU000012-4</x:v>
      </x:c>
      <x:c r="B41" s="62" t="str">
        <x:v>Тени для век GBU000012 золотистый</x:v>
      </x:c>
      <x:c r="C41" s="58" t="str">
        <x:v>GBU000012</x:v>
      </x:c>
      <x:c r="D41" s="58" t="str">
        <x:v>GBU000012F0001</x:v>
      </x:c>
      <x:c r="E41" s="57" t="str">
        <x:v>Girls 13+</x:v>
      </x:c>
      <x:c r="F41" s="57" t="str">
        <x:v>Color Cosmetics</x:v>
      </x:c>
      <x:c r="G41" s="57" t="str">
        <x:v>Eyes</x:v>
      </x:c>
      <x:c r="H41" s="60" t="str">
        <x:f>IF(I41&gt;0,"Да","Нет")</x:f>
        <x:v>Да</x:v>
      </x:c>
      <x:c r="I41" s="61" t="n">
        <x:v>1</x:v>
      </x:c>
    </x:row>
    <x:row r="42">
      <x:c r="A42" s="58" t="str">
        <x:v>GBU000013-1</x:v>
      </x:c>
      <x:c r="B42" s="62" t="str">
        <x:v>Хайлайтер GBU000013 золотистый</x:v>
      </x:c>
      <x:c r="C42" s="58" t="str">
        <x:v>GBU000013</x:v>
      </x:c>
      <x:c r="D42" s="58" t="str">
        <x:v>GBU000013F0001</x:v>
      </x:c>
      <x:c r="E42" s="57" t="str">
        <x:v>Girls 13+</x:v>
      </x:c>
      <x:c r="F42" s="57" t="str">
        <x:v>Color Cosmetics</x:v>
      </x:c>
      <x:c r="G42" s="57" t="str">
        <x:v>Face</x:v>
      </x:c>
      <x:c r="H42" s="60" t="str">
        <x:f>IF(I42&gt;0,"Да","Нет")</x:f>
        <x:v>Да</x:v>
      </x:c>
      <x:c r="I42" s="61" t="n">
        <x:v>1</x:v>
      </x:c>
    </x:row>
    <x:row r="43">
      <x:c r="A43" s="58" t="str">
        <x:v>GBU000013-2</x:v>
      </x:c>
      <x:c r="B43" s="62" t="str">
        <x:v>Хайлайтер GBU000013 светло-розовый</x:v>
      </x:c>
      <x:c r="C43" s="58" t="str">
        <x:v>GBU000013</x:v>
      </x:c>
      <x:c r="D43" s="58" t="str">
        <x:v>GBU000013F0002</x:v>
      </x:c>
      <x:c r="E43" s="57" t="str">
        <x:v>Girls 13+</x:v>
      </x:c>
      <x:c r="F43" s="57" t="str">
        <x:v>Color Cosmetics</x:v>
      </x:c>
      <x:c r="G43" s="57" t="str">
        <x:v>Face</x:v>
      </x:c>
      <x:c r="H43" s="60" t="str">
        <x:f>IF(I43&gt;0,"Да","Нет")</x:f>
        <x:v>Да</x:v>
      </x:c>
      <x:c r="I43" s="61" t="n">
        <x:v>1</x:v>
      </x:c>
    </x:row>
    <x:row r="44">
      <x:c r="A44" s="58" t="str">
        <x:v>GBU000014-1</x:v>
      </x:c>
      <x:c r="B44" s="62" t="str">
        <x:v>Гель для бровей GBU000014 прозрачный</x:v>
      </x:c>
      <x:c r="C44" s="58" t="str">
        <x:v>GBU000014</x:v>
      </x:c>
      <x:c r="D44" s="58" t="str">
        <x:v>GBU000014F0002</x:v>
      </x:c>
      <x:c r="E44" s="57" t="str">
        <x:v>Girls 13+</x:v>
      </x:c>
      <x:c r="F44" s="57" t="str">
        <x:v>Color Cosmetics</x:v>
      </x:c>
      <x:c r="G44" s="57" t="str">
        <x:v>Eyes</x:v>
      </x:c>
      <x:c r="H44" s="60" t="str">
        <x:f>IF(I44&gt;0,"Да","Нет")</x:f>
        <x:v>Нет</x:v>
      </x:c>
      <x:c r="I44" s="61" t="n">
        <x:v>0</x:v>
      </x:c>
    </x:row>
    <x:row r="45">
      <x:c r="A45" s="58" t="str">
        <x:v>GBU000014-2</x:v>
      </x:c>
      <x:c r="B45" s="62" t="str">
        <x:v>Гель для бровей GBU000014 коричневый</x:v>
      </x:c>
      <x:c r="C45" s="58" t="str">
        <x:v>GBU000014</x:v>
      </x:c>
      <x:c r="D45" s="58" t="str">
        <x:v>GBU000014F0001</x:v>
      </x:c>
      <x:c r="E45" s="57" t="str">
        <x:v>Girls 13+</x:v>
      </x:c>
      <x:c r="F45" s="57" t="str">
        <x:v>Color Cosmetics</x:v>
      </x:c>
      <x:c r="G45" s="57" t="str">
        <x:v>Eyes</x:v>
      </x:c>
      <x:c r="H45" s="60" t="str">
        <x:f>IF(I45&gt;0,"Да","Нет")</x:f>
        <x:v>Нет</x:v>
      </x:c>
      <x:c r="I45" s="61" t="n">
        <x:v>0</x:v>
      </x:c>
    </x:row>
    <x:row r="46">
      <x:c r="A46" s="58" t="str">
        <x:v>GBU000014-3</x:v>
      </x:c>
      <x:c r="B46" s="62" t="str">
        <x:v>Гель для бровей GBU000014 темно-бежевый</x:v>
      </x:c>
      <x:c r="C46" s="58" t="str">
        <x:v>GBU000014</x:v>
      </x:c>
      <x:c r="D46" s="58" t="str">
        <x:v>GBU000014F0003</x:v>
      </x:c>
      <x:c r="E46" s="57" t="str">
        <x:v>Girls 13+</x:v>
      </x:c>
      <x:c r="F46" s="57" t="str">
        <x:v>Color Cosmetics</x:v>
      </x:c>
      <x:c r="G46" s="57" t="str">
        <x:v>Eyes</x:v>
      </x:c>
      <x:c r="H46" s="60" t="str">
        <x:f>IF(I46&gt;0,"Да","Нет")</x:f>
        <x:v>Нет</x:v>
      </x:c>
      <x:c r="I46" s="61" t="n">
        <x:v>0</x:v>
      </x:c>
    </x:row>
    <x:row r="47">
      <x:c r="A47" s="58" t="str">
        <x:v>GBU000016-1</x:v>
      </x:c>
      <x:c r="B47" s="62" t="str">
        <x:v>Лайнер для глаз GBU000016 черный</x:v>
      </x:c>
      <x:c r="C47" s="58" t="str">
        <x:v>GBU000016</x:v>
      </x:c>
      <x:c r="D47" s="58" t="str">
        <x:v>GBU000016F0005</x:v>
      </x:c>
      <x:c r="E47" s="57" t="str">
        <x:v>Girls 13+</x:v>
      </x:c>
      <x:c r="F47" s="57" t="str">
        <x:v>Color Cosmetics</x:v>
      </x:c>
      <x:c r="G47" s="57" t="str">
        <x:v>Eyes</x:v>
      </x:c>
      <x:c r="H47" s="60" t="str">
        <x:f>IF(I47&gt;0,"Да","Нет")</x:f>
        <x:v>Да</x:v>
      </x:c>
      <x:c r="I47" s="61" t="n">
        <x:v>1</x:v>
      </x:c>
    </x:row>
    <x:row r="48">
      <x:c r="A48" s="58" t="str">
        <x:v>GBU000016-2</x:v>
      </x:c>
      <x:c r="B48" s="62" t="str">
        <x:v>Лайнер для глаз GBU000016 коричневый</x:v>
      </x:c>
      <x:c r="C48" s="58" t="str">
        <x:v>GBU000016</x:v>
      </x:c>
      <x:c r="D48" s="58" t="str">
        <x:v>GBU000016F0002</x:v>
      </x:c>
      <x:c r="E48" s="57" t="str">
        <x:v>Girls 13+</x:v>
      </x:c>
      <x:c r="F48" s="57" t="str">
        <x:v>Color Cosmetics</x:v>
      </x:c>
      <x:c r="G48" s="57" t="str">
        <x:v>Eyes</x:v>
      </x:c>
      <x:c r="H48" s="60" t="str">
        <x:f>IF(I48&gt;0,"Да","Нет")</x:f>
        <x:v>Да</x:v>
      </x:c>
      <x:c r="I48" s="61" t="n">
        <x:v>1</x:v>
      </x:c>
    </x:row>
    <x:row r="49">
      <x:c r="A49" s="58" t="str">
        <x:v>GBU000016-3</x:v>
      </x:c>
      <x:c r="B49" s="62" t="str">
        <x:v>Лайнер для глаз GBU000016 розовый</x:v>
      </x:c>
      <x:c r="C49" s="58" t="str">
        <x:v>GBU000016</x:v>
      </x:c>
      <x:c r="D49" s="58" t="str">
        <x:v>GBU000016F0003</x:v>
      </x:c>
      <x:c r="E49" s="57" t="str">
        <x:v>Girls 13+</x:v>
      </x:c>
      <x:c r="F49" s="57" t="str">
        <x:v>Color Cosmetics</x:v>
      </x:c>
      <x:c r="G49" s="57" t="str">
        <x:v>Eyes</x:v>
      </x:c>
      <x:c r="H49" s="60" t="str">
        <x:f>IF(I49&gt;0,"Да","Нет")</x:f>
        <x:v>Да</x:v>
      </x:c>
      <x:c r="I49" s="61" t="n">
        <x:v>1</x:v>
      </x:c>
    </x:row>
    <x:row r="50">
      <x:c r="A50" s="58" t="str">
        <x:v>GBU000016-4</x:v>
      </x:c>
      <x:c r="B50" s="62" t="str">
        <x:v>Лайнер для глаз GBU000016 синий</x:v>
      </x:c>
      <x:c r="C50" s="58" t="str">
        <x:v>GBU000016</x:v>
      </x:c>
      <x:c r="D50" s="58" t="str">
        <x:v>GBU000016F0004</x:v>
      </x:c>
      <x:c r="E50" s="57" t="str">
        <x:v>Girls 13+</x:v>
      </x:c>
      <x:c r="F50" s="57" t="str">
        <x:v>Color Cosmetics</x:v>
      </x:c>
      <x:c r="G50" s="57" t="str">
        <x:v>Eyes</x:v>
      </x:c>
      <x:c r="H50" s="60" t="str">
        <x:f>IF(I50&gt;0,"Да","Нет")</x:f>
        <x:v>Да</x:v>
      </x:c>
      <x:c r="I50" s="61" t="n">
        <x:v>1</x:v>
      </x:c>
    </x:row>
    <x:row r="51">
      <x:c r="A51" s="58" t="str">
        <x:v>GBU000016-5</x:v>
      </x:c>
      <x:c r="B51" s="62" t="str">
        <x:v>Лайнер для глаз GBU000016 зеленый</x:v>
      </x:c>
      <x:c r="C51" s="58" t="str">
        <x:v>GBU000016</x:v>
      </x:c>
      <x:c r="D51" s="58" t="str">
        <x:v>GBU000016F0001</x:v>
      </x:c>
      <x:c r="E51" s="57" t="str">
        <x:v>Girls 13+</x:v>
      </x:c>
      <x:c r="F51" s="57" t="str">
        <x:v>Color Cosmetics</x:v>
      </x:c>
      <x:c r="G51" s="57" t="str">
        <x:v>Eyes</x:v>
      </x:c>
      <x:c r="H51" s="60" t="str">
        <x:f>IF(I51&gt;0,"Да","Нет")</x:f>
        <x:v>Да</x:v>
      </x:c>
      <x:c r="I51" s="61" t="n">
        <x:v>1</x:v>
      </x:c>
    </x:row>
    <x:row r="52">
      <x:c r="A52" s="58" t="str">
        <x:v>GBU000017-1</x:v>
      </x:c>
      <x:c r="B52" s="62" t="str">
        <x:v>Румяна GBU000017 малиновый</x:v>
      </x:c>
      <x:c r="C52" s="58" t="str">
        <x:v>GBU000017</x:v>
      </x:c>
      <x:c r="D52" s="58" t="str">
        <x:v>GBU000017F0001</x:v>
      </x:c>
      <x:c r="E52" s="57" t="str">
        <x:v>Girls 13+</x:v>
      </x:c>
      <x:c r="F52" s="57" t="str">
        <x:v>Color Cosmetics</x:v>
      </x:c>
      <x:c r="G52" s="57" t="str">
        <x:v>Face</x:v>
      </x:c>
      <x:c r="H52" s="60" t="str">
        <x:f>IF(I52&gt;0,"Да","Нет")</x:f>
        <x:v>Да</x:v>
      </x:c>
      <x:c r="I52" s="61" t="n">
        <x:v>1</x:v>
      </x:c>
    </x:row>
    <x:row r="53">
      <x:c r="A53" s="58" t="str">
        <x:v>GBU000017-2</x:v>
      </x:c>
      <x:c r="B53" s="62" t="str">
        <x:v>Румяна GBU000017 ярко-розовый</x:v>
      </x:c>
      <x:c r="C53" s="58" t="str">
        <x:v>GBU000017</x:v>
      </x:c>
      <x:c r="D53" s="58" t="str">
        <x:v>GBU000017F0004</x:v>
      </x:c>
      <x:c r="E53" s="57" t="str">
        <x:v>Girls 13+</x:v>
      </x:c>
      <x:c r="F53" s="57" t="str">
        <x:v>Color Cosmetics</x:v>
      </x:c>
      <x:c r="G53" s="57" t="str">
        <x:v>Face</x:v>
      </x:c>
      <x:c r="H53" s="60" t="str">
        <x:f>IF(I53&gt;0,"Да","Нет")</x:f>
        <x:v>Да</x:v>
      </x:c>
      <x:c r="I53" s="61" t="n">
        <x:v>1</x:v>
      </x:c>
    </x:row>
    <x:row r="54">
      <x:c r="A54" s="58" t="str">
        <x:v>GBU000017-3</x:v>
      </x:c>
      <x:c r="B54" s="62" t="str">
        <x:v>Румяна GBU000017 розовый/бежевый</x:v>
      </x:c>
      <x:c r="C54" s="58" t="str">
        <x:v>GBU000017</x:v>
      </x:c>
      <x:c r="D54" s="58" t="str">
        <x:v>GBU000017F0002</x:v>
      </x:c>
      <x:c r="E54" s="57" t="str">
        <x:v>Girls 13+</x:v>
      </x:c>
      <x:c r="F54" s="57" t="str">
        <x:v>Color Cosmetics</x:v>
      </x:c>
      <x:c r="G54" s="57" t="str">
        <x:v>Face</x:v>
      </x:c>
      <x:c r="H54" s="60" t="str">
        <x:f>IF(I54&gt;0,"Да","Нет")</x:f>
        <x:v>Да</x:v>
      </x:c>
      <x:c r="I54" s="61" t="n">
        <x:v>1</x:v>
      </x:c>
    </x:row>
    <x:row r="55">
      <x:c r="A55" s="58" t="str">
        <x:v>GBU000017-4</x:v>
      </x:c>
      <x:c r="B55" s="62" t="str">
        <x:v>Румяна GBU000017 светло-розовый</x:v>
      </x:c>
      <x:c r="C55" s="58" t="str">
        <x:v>GBU000017</x:v>
      </x:c>
      <x:c r="D55" s="58" t="str">
        <x:v>GBU000017F0003</x:v>
      </x:c>
      <x:c r="E55" s="57" t="str">
        <x:v>Girls 13+</x:v>
      </x:c>
      <x:c r="F55" s="57" t="str">
        <x:v>Color Cosmetics</x:v>
      </x:c>
      <x:c r="G55" s="57" t="str">
        <x:v>Face</x:v>
      </x:c>
      <x:c r="H55" s="60" t="str">
        <x:f>IF(I55&gt;0,"Да","Нет")</x:f>
        <x:v>Да</x:v>
      </x:c>
      <x:c r="I55" s="61" t="n">
        <x:v>1</x:v>
      </x:c>
    </x:row>
    <x:row r="56">
      <x:c r="A56" s="58" t="str">
        <x:v>GBU000018-1</x:v>
      </x:c>
      <x:c r="B56" s="62" t="str">
        <x:v>Масло для губ GBU000018 зеленый</x:v>
      </x:c>
      <x:c r="C56" s="58" t="str">
        <x:v>GBU000018</x:v>
      </x:c>
      <x:c r="D56" s="58" t="str">
        <x:v>GBU000018F0002</x:v>
      </x:c>
      <x:c r="E56" s="57" t="str">
        <x:v>Girls 13+</x:v>
      </x:c>
      <x:c r="F56" s="57" t="str">
        <x:v>Color Cosmetics</x:v>
      </x:c>
      <x:c r="G56" s="57" t="str">
        <x:v>Lips</x:v>
      </x:c>
      <x:c r="H56" s="60" t="str">
        <x:f>IF(I56&gt;0,"Да","Нет")</x:f>
        <x:v>Да</x:v>
      </x:c>
      <x:c r="I56" s="61" t="n">
        <x:v>1</x:v>
      </x:c>
    </x:row>
    <x:row r="57">
      <x:c r="A57" s="58" t="str">
        <x:v>GBU000018-2</x:v>
      </x:c>
      <x:c r="B57" s="62" t="str">
        <x:v>Масло для губ GBU000018 прозрачный</x:v>
      </x:c>
      <x:c r="C57" s="58" t="str">
        <x:v>GBU000018</x:v>
      </x:c>
      <x:c r="D57" s="58" t="str">
        <x:v>GBU000018F0004</x:v>
      </x:c>
      <x:c r="E57" s="57" t="str">
        <x:v>Girls 13+</x:v>
      </x:c>
      <x:c r="F57" s="57" t="str">
        <x:v>Color Cosmetics</x:v>
      </x:c>
      <x:c r="G57" s="57" t="str">
        <x:v>Lips</x:v>
      </x:c>
      <x:c r="H57" s="60" t="str">
        <x:f>IF(I57&gt;0,"Да","Нет")</x:f>
        <x:v>Да</x:v>
      </x:c>
      <x:c r="I57" s="61" t="n">
        <x:v>1</x:v>
      </x:c>
    </x:row>
    <x:row r="58">
      <x:c r="A58" s="58" t="str">
        <x:v>GBU000018-3</x:v>
      </x:c>
      <x:c r="B58" s="62" t="str">
        <x:v>Масло для губ GBU000018 синий</x:v>
      </x:c>
      <x:c r="C58" s="58" t="str">
        <x:v>GBU000018</x:v>
      </x:c>
      <x:c r="D58" s="58" t="str">
        <x:v>GBU000018F0005</x:v>
      </x:c>
      <x:c r="E58" s="57" t="str">
        <x:v>Girls 13+</x:v>
      </x:c>
      <x:c r="F58" s="57" t="str">
        <x:v>Color Cosmetics</x:v>
      </x:c>
      <x:c r="G58" s="57" t="str">
        <x:v>Lips</x:v>
      </x:c>
      <x:c r="H58" s="60" t="str">
        <x:f>IF(I58&gt;0,"Да","Нет")</x:f>
        <x:v>Да</x:v>
      </x:c>
      <x:c r="I58" s="61" t="n">
        <x:v>1</x:v>
      </x:c>
    </x:row>
    <x:row r="59">
      <x:c r="A59" s="58" t="str">
        <x:v>GBU000018-4</x:v>
      </x:c>
      <x:c r="B59" s="62" t="str">
        <x:v>Масло для губ GBU000018 малиновый</x:v>
      </x:c>
      <x:c r="C59" s="58" t="str">
        <x:v>GBU000018</x:v>
      </x:c>
      <x:c r="D59" s="58" t="str">
        <x:v>GBU000018F0003</x:v>
      </x:c>
      <x:c r="E59" s="57" t="str">
        <x:v>Girls 13+</x:v>
      </x:c>
      <x:c r="F59" s="57" t="str">
        <x:v>Color Cosmetics</x:v>
      </x:c>
      <x:c r="G59" s="57" t="str">
        <x:v>Lips</x:v>
      </x:c>
      <x:c r="H59" s="60" t="str">
        <x:f>IF(I59&gt;0,"Да","Нет")</x:f>
        <x:v>Да</x:v>
      </x:c>
      <x:c r="I59" s="61" t="n">
        <x:v>1</x:v>
      </x:c>
    </x:row>
    <x:row r="60">
      <x:c r="A60" s="58" t="str">
        <x:v>GBU000018-5</x:v>
      </x:c>
      <x:c r="B60" s="62" t="str">
        <x:v>Масло для губ GBU000018 ярко-розовый</x:v>
      </x:c>
      <x:c r="C60" s="58" t="str">
        <x:v>GBU000018</x:v>
      </x:c>
      <x:c r="D60" s="58" t="str">
        <x:v>GBU000018F0006</x:v>
      </x:c>
      <x:c r="E60" s="57" t="str">
        <x:v>Girls 13+</x:v>
      </x:c>
      <x:c r="F60" s="57" t="str">
        <x:v>Color Cosmetics</x:v>
      </x:c>
      <x:c r="G60" s="57" t="str">
        <x:v>Lips</x:v>
      </x:c>
      <x:c r="H60" s="60" t="str">
        <x:f>IF(I60&gt;0,"Да","Нет")</x:f>
        <x:v>Да</x:v>
      </x:c>
      <x:c r="I60" s="61" t="n">
        <x:v>1</x:v>
      </x:c>
    </x:row>
    <x:row r="61">
      <x:c r="A61" s="58" t="str">
        <x:v>GBU000018-6</x:v>
      </x:c>
      <x:c r="B61" s="62" t="str">
        <x:v>Масло для губ GBU000018 желтый</x:v>
      </x:c>
      <x:c r="C61" s="58" t="str">
        <x:v>GBU000018</x:v>
      </x:c>
      <x:c r="D61" s="58" t="str">
        <x:v>GBU000018F0001</x:v>
      </x:c>
      <x:c r="E61" s="57" t="str">
        <x:v>Girls 13+</x:v>
      </x:c>
      <x:c r="F61" s="57" t="str">
        <x:v>Color Cosmetics</x:v>
      </x:c>
      <x:c r="G61" s="57" t="str">
        <x:v>Lips</x:v>
      </x:c>
      <x:c r="H61" s="60" t="str">
        <x:f>IF(I61&gt;0,"Да","Нет")</x:f>
        <x:v>Да</x:v>
      </x:c>
      <x:c r="I61" s="61" t="n">
        <x:v>1</x:v>
      </x:c>
    </x:row>
    <x:row r="62">
      <x:c r="A62" s="58" t="str">
        <x:v>GBU000019-1</x:v>
      </x:c>
      <x:c r="B62" s="62" t="str">
        <x:v>Контуринг GBU000019 коричневый</x:v>
      </x:c>
      <x:c r="C62" s="58" t="str">
        <x:v>GBU000019</x:v>
      </x:c>
      <x:c r="D62" s="58" t="str">
        <x:v>GBU000019F0001</x:v>
      </x:c>
      <x:c r="E62" s="57" t="str">
        <x:v>Girls 13+</x:v>
      </x:c>
      <x:c r="F62" s="57" t="str">
        <x:v>Color Cosmetics</x:v>
      </x:c>
      <x:c r="G62" s="57" t="str">
        <x:v>Face</x:v>
      </x:c>
      <x:c r="H62" s="60" t="str">
        <x:f>IF(I62&gt;0,"Да","Нет")</x:f>
        <x:v>Да</x:v>
      </x:c>
      <x:c r="I62" s="61" t="n">
        <x:v>1</x:v>
      </x:c>
    </x:row>
    <x:row r="63">
      <x:c r="A63" s="58" t="str">
        <x:v>GBU000019-2</x:v>
      </x:c>
      <x:c r="B63" s="62" t="str">
        <x:v>Контуринг GBU000019 темно-бежевый</x:v>
      </x:c>
      <x:c r="C63" s="58" t="str">
        <x:v>GBU000019</x:v>
      </x:c>
      <x:c r="D63" s="58" t="str">
        <x:v>GBU000019F0002</x:v>
      </x:c>
      <x:c r="E63" s="57" t="str">
        <x:v>Girls 13+</x:v>
      </x:c>
      <x:c r="F63" s="57" t="str">
        <x:v>Color Cosmetics</x:v>
      </x:c>
      <x:c r="G63" s="57" t="str">
        <x:v>Face</x:v>
      </x:c>
      <x:c r="H63" s="60" t="str">
        <x:f>IF(I63&gt;0,"Да","Нет")</x:f>
        <x:v>Да</x:v>
      </x:c>
      <x:c r="I63" s="61" t="n">
        <x:v>1</x:v>
      </x:c>
    </x:row>
    <x:row r="64">
      <x:c r="A64" s="58" t="str">
        <x:v>GBU000020-1</x:v>
      </x:c>
      <x:c r="B64" s="62" t="str">
        <x:v>Румяна GBU000020 розовый/бежевый</x:v>
      </x:c>
      <x:c r="C64" s="58" t="str">
        <x:v>GBU000020</x:v>
      </x:c>
      <x:c r="D64" s="58" t="str">
        <x:v>GBU000020F0002</x:v>
      </x:c>
      <x:c r="E64" s="57" t="str">
        <x:v>Girls 13+</x:v>
      </x:c>
      <x:c r="F64" s="57" t="str">
        <x:v>Color Cosmetics</x:v>
      </x:c>
      <x:c r="G64" s="57" t="str">
        <x:v>Face</x:v>
      </x:c>
      <x:c r="H64" s="60" t="str">
        <x:f>IF(I64&gt;0,"Да","Нет")</x:f>
        <x:v>Нет</x:v>
      </x:c>
      <x:c r="I64" s="61" t="n">
        <x:v>0</x:v>
      </x:c>
    </x:row>
    <x:row r="65">
      <x:c r="A65" s="58" t="str">
        <x:v>GBU000020-2</x:v>
      </x:c>
      <x:c r="B65" s="62" t="str">
        <x:v>Румяна GBU000020 малиновый</x:v>
      </x:c>
      <x:c r="C65" s="58" t="str">
        <x:v>GBU000020</x:v>
      </x:c>
      <x:c r="D65" s="58" t="str">
        <x:v>GBU000020F0001</x:v>
      </x:c>
      <x:c r="E65" s="57" t="str">
        <x:v>Girls 13+</x:v>
      </x:c>
      <x:c r="F65" s="57" t="str">
        <x:v>Color Cosmetics</x:v>
      </x:c>
      <x:c r="G65" s="57" t="str">
        <x:v>Face</x:v>
      </x:c>
      <x:c r="H65" s="60" t="str">
        <x:f>IF(I65&gt;0,"Да","Нет")</x:f>
        <x:v>Нет</x:v>
      </x:c>
      <x:c r="I65" s="61" t="n">
        <x:v>0</x:v>
      </x:c>
    </x:row>
    <x:row r="66">
      <x:c r="A66" s="58" t="str">
        <x:v>GBU000020-3</x:v>
      </x:c>
      <x:c r="B66" s="62" t="str">
        <x:v>Румяна GBU000020 ярко-розовый</x:v>
      </x:c>
      <x:c r="C66" s="58" t="str">
        <x:v>GBU000020</x:v>
      </x:c>
      <x:c r="D66" s="58" t="str">
        <x:v>GBU000020F0003</x:v>
      </x:c>
      <x:c r="E66" s="57" t="str">
        <x:v>Girls 13+</x:v>
      </x:c>
      <x:c r="F66" s="57" t="str">
        <x:v>Color Cosmetics</x:v>
      </x:c>
      <x:c r="G66" s="57" t="str">
        <x:v>Face</x:v>
      </x:c>
      <x:c r="H66" s="60" t="str">
        <x:f>IF(I66&gt;0,"Да","Нет")</x:f>
        <x:v>Нет</x:v>
      </x:c>
      <x:c r="I66" s="61" t="n">
        <x:v>0</x:v>
      </x:c>
    </x:row>
    <x:row r="67">
      <x:c r="A67" s="58" t="str">
        <x:v>GBU000021-1</x:v>
      </x:c>
      <x:c r="B67" s="62" t="str">
        <x:v>Набор масел для губ GBU000021 разноцветный/синий</x:v>
      </x:c>
      <x:c r="C67" s="58" t="str">
        <x:v>GBU000021</x:v>
      </x:c>
      <x:c r="D67" s="58" t="str">
        <x:v>GBU000021F0002</x:v>
      </x:c>
      <x:c r="E67" s="57" t="str">
        <x:v>Girls 13+</x:v>
      </x:c>
      <x:c r="F67" s="57" t="str">
        <x:v>Color Cosmetics</x:v>
      </x:c>
      <x:c r="G67" s="57" t="str">
        <x:v>Lips</x:v>
      </x:c>
      <x:c r="H67" s="60" t="str">
        <x:f>IF(I67&gt;0,"Да","Нет")</x:f>
        <x:v>Да</x:v>
      </x:c>
      <x:c r="I67" s="61" t="n">
        <x:v>1</x:v>
      </x:c>
    </x:row>
    <x:row r="68">
      <x:c r="A68" s="58" t="str">
        <x:v>GBU000021-2</x:v>
      </x:c>
      <x:c r="B68" s="62" t="str">
        <x:v>Набор масел для губ GBU000021 разноцветный/желтый</x:v>
      </x:c>
      <x:c r="C68" s="58" t="str">
        <x:v>GBU000021</x:v>
      </x:c>
      <x:c r="D68" s="58" t="str">
        <x:v>GBU000021F0001</x:v>
      </x:c>
      <x:c r="E68" s="57" t="str">
        <x:v>Girls 13+</x:v>
      </x:c>
      <x:c r="F68" s="57" t="str">
        <x:v>Color Cosmetics</x:v>
      </x:c>
      <x:c r="G68" s="57" t="str">
        <x:v>Lips</x:v>
      </x:c>
      <x:c r="H68" s="60" t="str">
        <x:f>IF(I68&gt;0,"Да","Нет")</x:f>
        <x:v>Да</x:v>
      </x:c>
      <x:c r="I68" s="61" t="n">
        <x:v>1</x:v>
      </x:c>
    </x:row>
    <x:row r="69">
      <x:c r="A69" s="58" t="str">
        <x:v>GBU000022-1</x:v>
      </x:c>
      <x:c r="B69" s="62" t="str">
        <x:v>Бальзам и блеск для губ GBU000022 оранжевый</x:v>
      </x:c>
      <x:c r="C69" s="58" t="str">
        <x:v>GBU000022</x:v>
      </x:c>
      <x:c r="D69" s="58" t="str">
        <x:v>GBU000022F0004</x:v>
      </x:c>
      <x:c r="E69" s="57" t="str">
        <x:v>Girls 2-8</x:v>
      </x:c>
      <x:c r="F69" s="57" t="str">
        <x:v>Color Cosmetics</x:v>
      </x:c>
      <x:c r="G69" s="57" t="str">
        <x:v>Lips</x:v>
      </x:c>
      <x:c r="H69" s="60" t="str">
        <x:f>IF(I69&gt;0,"Да","Нет")</x:f>
        <x:v>Да</x:v>
      </x:c>
      <x:c r="I69" s="61" t="n">
        <x:v>1</x:v>
      </x:c>
    </x:row>
    <x:row r="70">
      <x:c r="A70" s="58" t="str">
        <x:v>GBU000022-2</x:v>
      </x:c>
      <x:c r="B70" s="62" t="str">
        <x:v>Бальзам и блеск для губ GBU000022 желтый</x:v>
      </x:c>
      <x:c r="C70" s="58" t="str">
        <x:v>GBU000022</x:v>
      </x:c>
      <x:c r="D70" s="58" t="str">
        <x:v>GBU000022F0001</x:v>
      </x:c>
      <x:c r="E70" s="57" t="str">
        <x:v>Girls 2-8</x:v>
      </x:c>
      <x:c r="F70" s="57" t="str">
        <x:v>Color Cosmetics</x:v>
      </x:c>
      <x:c r="G70" s="57" t="str">
        <x:v>Lips</x:v>
      </x:c>
      <x:c r="H70" s="60" t="str">
        <x:f>IF(I70&gt;0,"Да","Нет")</x:f>
        <x:v>Да</x:v>
      </x:c>
      <x:c r="I70" s="61" t="n">
        <x:v>1</x:v>
      </x:c>
    </x:row>
    <x:row r="71">
      <x:c r="A71" s="58" t="str">
        <x:v>GBU000022-3</x:v>
      </x:c>
      <x:c r="B71" s="62" t="str">
        <x:v>Бальзам и блеск для губ GBU000022 розовый</x:v>
      </x:c>
      <x:c r="C71" s="58" t="str">
        <x:v>GBU000022</x:v>
      </x:c>
      <x:c r="D71" s="58" t="str">
        <x:v>GBU000022F0005</x:v>
      </x:c>
      <x:c r="E71" s="57" t="str">
        <x:v>Girls 2-8</x:v>
      </x:c>
      <x:c r="F71" s="57" t="str">
        <x:v>Color Cosmetics</x:v>
      </x:c>
      <x:c r="G71" s="57" t="str">
        <x:v>Lips</x:v>
      </x:c>
      <x:c r="H71" s="60" t="str">
        <x:f>IF(I71&gt;0,"Да","Нет")</x:f>
        <x:v>Да</x:v>
      </x:c>
      <x:c r="I71" s="61" t="n">
        <x:v>1</x:v>
      </x:c>
    </x:row>
    <x:row r="72">
      <x:c r="A72" s="58" t="str">
        <x:v>GBU000022-4</x:v>
      </x:c>
      <x:c r="B72" s="62" t="str">
        <x:v>Бальзам и блеск для губ GBU000022 лиловый</x:v>
      </x:c>
      <x:c r="C72" s="58" t="str">
        <x:v>GBU000022</x:v>
      </x:c>
      <x:c r="D72" s="58" t="str">
        <x:v>GBU000022F0003</x:v>
      </x:c>
      <x:c r="E72" s="57" t="str">
        <x:v>Girls 2-8</x:v>
      </x:c>
      <x:c r="F72" s="57" t="str">
        <x:v>Color Cosmetics</x:v>
      </x:c>
      <x:c r="G72" s="57" t="str">
        <x:v>Lips</x:v>
      </x:c>
      <x:c r="H72" s="60" t="str">
        <x:f>IF(I72&gt;0,"Да","Нет")</x:f>
        <x:v>Да</x:v>
      </x:c>
      <x:c r="I72" s="61" t="n">
        <x:v>1</x:v>
      </x:c>
    </x:row>
    <x:row r="73">
      <x:c r="A73" s="58" t="str">
        <x:v>GBU000022-5</x:v>
      </x:c>
      <x:c r="B73" s="62" t="str">
        <x:v>Бальзам и блеск для губ GBU000022 синий</x:v>
      </x:c>
      <x:c r="C73" s="58" t="str">
        <x:v>GBU000022</x:v>
      </x:c>
      <x:c r="D73" s="58" t="str">
        <x:v>GBU000022F0006</x:v>
      </x:c>
      <x:c r="E73" s="57" t="str">
        <x:v>Girls 2-8</x:v>
      </x:c>
      <x:c r="F73" s="57" t="str">
        <x:v>Color Cosmetics</x:v>
      </x:c>
      <x:c r="G73" s="57" t="str">
        <x:v>Lips</x:v>
      </x:c>
      <x:c r="H73" s="60" t="str">
        <x:f>IF(I73&gt;0,"Да","Нет")</x:f>
        <x:v>Да</x:v>
      </x:c>
      <x:c r="I73" s="61" t="n">
        <x:v>1</x:v>
      </x:c>
    </x:row>
    <x:row r="74">
      <x:c r="A74" s="58" t="str">
        <x:v>GBU000022-6</x:v>
      </x:c>
      <x:c r="B74" s="62" t="str">
        <x:v>Бальзам и блеск для губ GBU000022 зеленый</x:v>
      </x:c>
      <x:c r="C74" s="58" t="str">
        <x:v>GBU000022</x:v>
      </x:c>
      <x:c r="D74" s="58" t="str">
        <x:v>GBU000022F0002</x:v>
      </x:c>
      <x:c r="E74" s="57" t="str">
        <x:v>Girls 2-8</x:v>
      </x:c>
      <x:c r="F74" s="57" t="str">
        <x:v>Color Cosmetics</x:v>
      </x:c>
      <x:c r="G74" s="57" t="str">
        <x:v>Lips</x:v>
      </x:c>
      <x:c r="H74" s="60" t="str">
        <x:f>IF(I74&gt;0,"Да","Нет")</x:f>
        <x:v>Да</x:v>
      </x:c>
      <x:c r="I74" s="61" t="n">
        <x:v>1</x:v>
      </x:c>
    </x:row>
    <x:row r="75">
      <x:c r="A75" s="58" t="str">
        <x:v>GBU000024-1</x:v>
      </x:c>
      <x:c r="B75" s="62" t="str">
        <x:v>Масло для губ GBU000024 желтый</x:v>
      </x:c>
      <x:c r="C75" s="58" t="str">
        <x:v>GBU000024</x:v>
      </x:c>
      <x:c r="D75" s="58" t="str">
        <x:v>GBU000024F0001</x:v>
      </x:c>
      <x:c r="E75" s="57" t="str">
        <x:v>Girls 2-8</x:v>
      </x:c>
      <x:c r="F75" s="57" t="str">
        <x:v>Color Cosmetics</x:v>
      </x:c>
      <x:c r="G75" s="57" t="str">
        <x:v>Lips</x:v>
      </x:c>
      <x:c r="H75" s="60" t="str">
        <x:f>IF(I75&gt;0,"Да","Нет")</x:f>
        <x:v>Да</x:v>
      </x:c>
      <x:c r="I75" s="61" t="n">
        <x:v>1</x:v>
      </x:c>
    </x:row>
    <x:row r="76">
      <x:c r="A76" s="58" t="str">
        <x:v>GBU000024-2</x:v>
      </x:c>
      <x:c r="B76" s="62" t="str">
        <x:v>Масло для губ GBU000024 красный</x:v>
      </x:c>
      <x:c r="C76" s="58" t="str">
        <x:v>GBU000024</x:v>
      </x:c>
      <x:c r="D76" s="58" t="str">
        <x:v>GBU000024F0002</x:v>
      </x:c>
      <x:c r="E76" s="57" t="str">
        <x:v>Girls 2-8</x:v>
      </x:c>
      <x:c r="F76" s="57" t="str">
        <x:v>Color Cosmetics</x:v>
      </x:c>
      <x:c r="G76" s="57" t="str">
        <x:v>Lips</x:v>
      </x:c>
      <x:c r="H76" s="60" t="str">
        <x:f>IF(I76&gt;0,"Да","Нет")</x:f>
        <x:v>Да</x:v>
      </x:c>
      <x:c r="I76" s="61" t="n">
        <x:v>1</x:v>
      </x:c>
    </x:row>
    <x:row r="77">
      <x:c r="A77" s="58" t="str">
        <x:v>GBU000024-3</x:v>
      </x:c>
      <x:c r="B77" s="62" t="str">
        <x:v>Масло для губ GBU000024 лиловый</x:v>
      </x:c>
      <x:c r="C77" s="58" t="str">
        <x:v>GBU000024</x:v>
      </x:c>
      <x:c r="D77" s="58" t="str">
        <x:v>GBU000024F0003</x:v>
      </x:c>
      <x:c r="E77" s="57" t="str">
        <x:v>Girls 2-8</x:v>
      </x:c>
      <x:c r="F77" s="57" t="str">
        <x:v>Color Cosmetics</x:v>
      </x:c>
      <x:c r="G77" s="57" t="str">
        <x:v>Lips</x:v>
      </x:c>
      <x:c r="H77" s="60" t="str">
        <x:f>IF(I77&gt;0,"Да","Нет")</x:f>
        <x:v>Да</x:v>
      </x:c>
      <x:c r="I77" s="61" t="n">
        <x:v>1</x:v>
      </x:c>
    </x:row>
    <x:row r="78">
      <x:c r="A78" s="58" t="str">
        <x:v>GBU000024-4</x:v>
      </x:c>
      <x:c r="B78" s="62" t="str">
        <x:v>Масло для губ GBU000024 розовый</x:v>
      </x:c>
      <x:c r="C78" s="58" t="str">
        <x:v>GBU000024</x:v>
      </x:c>
      <x:c r="D78" s="58" t="str">
        <x:v>GBU000024F0004</x:v>
      </x:c>
      <x:c r="E78" s="57" t="str">
        <x:v>Girls 2-8</x:v>
      </x:c>
      <x:c r="F78" s="57" t="str">
        <x:v>Color Cosmetics</x:v>
      </x:c>
      <x:c r="G78" s="57" t="str">
        <x:v>Lips</x:v>
      </x:c>
      <x:c r="H78" s="60" t="str">
        <x:f>IF(I78&gt;0,"Да","Нет")</x:f>
        <x:v>Да</x:v>
      </x:c>
      <x:c r="I78" s="61" t="n">
        <x:v>1</x:v>
      </x:c>
    </x:row>
    <x:row r="79">
      <x:c r="A79" s="58" t="str">
        <x:v>GBU000025-1</x:v>
      </x:c>
      <x:c r="B79" s="62" t="str">
        <x:v>Влажные салфетки для снятия макияжа с ал GBU000025 серебристый</x:v>
      </x:c>
      <x:c r="C79" s="58" t="str">
        <x:v>GBU000025</x:v>
      </x:c>
      <x:c r="D79" s="58" t="str">
        <x:v>GBU000025F0001</x:v>
      </x:c>
      <x:c r="E79" s="57" t="str">
        <x:v>Girls 13+</x:v>
      </x:c>
      <x:c r="F79" s="57" t="str">
        <x:v>Skin Care</x:v>
      </x:c>
      <x:c r="G79" s="57" t="str">
        <x:v>Cleanser</x:v>
      </x:c>
      <x:c r="H79" s="60" t="str">
        <x:f>IF(I79&gt;0,"Да","Нет")</x:f>
        <x:v>Да</x:v>
      </x:c>
      <x:c r="I79" s="61" t="n">
        <x:v>1</x:v>
      </x:c>
    </x:row>
    <x:row r="80">
      <x:c r="A80" s="58" t="str">
        <x:v>GBU000064-1</x:v>
      </x:c>
      <x:c r="B80" s="62" t="str">
        <x:v>Лайнер для губ GBU000064 малиновый</x:v>
      </x:c>
      <x:c r="C80" s="58" t="str">
        <x:v>GBU000064</x:v>
      </x:c>
      <x:c r="D80" s="58" t="str">
        <x:v>GBU000064F0001</x:v>
      </x:c>
      <x:c r="E80" s="57" t="str">
        <x:v>Girls 13+</x:v>
      </x:c>
      <x:c r="F80" s="57" t="str">
        <x:v>Color Cosmetics</x:v>
      </x:c>
      <x:c r="G80" s="57" t="str">
        <x:v>Lips</x:v>
      </x:c>
      <x:c r="H80" s="60" t="str">
        <x:f>IF(I80&gt;0,"Да","Нет")</x:f>
        <x:v>Да</x:v>
      </x:c>
      <x:c r="I80" s="61" t="n">
        <x:v>1</x:v>
      </x:c>
    </x:row>
    <x:row r="81">
      <x:c r="A81" s="58" t="str">
        <x:v>GBU000064-2</x:v>
      </x:c>
      <x:c r="B81" s="62" t="str">
        <x:v>Лайнер для губ GBU000064 ярко-розовый</x:v>
      </x:c>
      <x:c r="C81" s="58" t="str">
        <x:v>GBU000064</x:v>
      </x:c>
      <x:c r="D81" s="58" t="str">
        <x:v>GBU000064F0003</x:v>
      </x:c>
      <x:c r="E81" s="57" t="str">
        <x:v>Girls 13+</x:v>
      </x:c>
      <x:c r="F81" s="57" t="str">
        <x:v>Color Cosmetics</x:v>
      </x:c>
      <x:c r="G81" s="57" t="str">
        <x:v>Lips</x:v>
      </x:c>
      <x:c r="H81" s="60" t="str">
        <x:f>IF(I81&gt;0,"Да","Нет")</x:f>
        <x:v>Да</x:v>
      </x:c>
      <x:c r="I81" s="61" t="n">
        <x:v>1</x:v>
      </x:c>
    </x:row>
    <x:row r="82">
      <x:c r="A82" s="58" t="str">
        <x:v>GBU000064-3</x:v>
      </x:c>
      <x:c r="B82" s="62" t="str">
        <x:v>Лайнер для губ GBU000064 розовый/бежевый</x:v>
      </x:c>
      <x:c r="C82" s="58" t="str">
        <x:v>GBU000064</x:v>
      </x:c>
      <x:c r="D82" s="58" t="str">
        <x:v>GBU000064F0002</x:v>
      </x:c>
      <x:c r="E82" s="57" t="str">
        <x:v>Girls 13+</x:v>
      </x:c>
      <x:c r="F82" s="57" t="str">
        <x:v>Color Cosmetics</x:v>
      </x:c>
      <x:c r="G82" s="57" t="str">
        <x:v>Lips</x:v>
      </x:c>
      <x:c r="H82" s="60" t="str">
        <x:f>IF(I82&gt;0,"Да","Нет")</x:f>
        <x:v>Да</x:v>
      </x:c>
      <x:c r="I82" s="61" t="n">
        <x:v>1</x:v>
      </x:c>
    </x:row>
    <x:row r="83">
      <x:c r="A83" s="58" t="str">
        <x:v>GBU000065-1</x:v>
      </x:c>
      <x:c r="B83" s="62" t="str">
        <x:v>Бальзам для губ GBU000065 малиновый</x:v>
      </x:c>
      <x:c r="C83" s="58" t="str">
        <x:v>GBU000065</x:v>
      </x:c>
      <x:c r="D83" s="58" t="str">
        <x:v>GBU000065F0001</x:v>
      </x:c>
      <x:c r="E83" s="57" t="str">
        <x:v>Girls 13+</x:v>
      </x:c>
      <x:c r="F83" s="57" t="str">
        <x:v>Color Cosmetics</x:v>
      </x:c>
      <x:c r="G83" s="57" t="str">
        <x:v>Lips</x:v>
      </x:c>
      <x:c r="H83" s="60" t="str">
        <x:f>IF(I83&gt;0,"Да","Нет")</x:f>
        <x:v>Да</x:v>
      </x:c>
      <x:c r="I83" s="61" t="n">
        <x:v>1</x:v>
      </x:c>
    </x:row>
    <x:row r="84">
      <x:c r="A84" s="58" t="str">
        <x:v>GBU000065-2</x:v>
      </x:c>
      <x:c r="B84" s="62" t="str">
        <x:v>Бальзам для губ GBU000065 прозрачный</x:v>
      </x:c>
      <x:c r="C84" s="58" t="str">
        <x:v>GBU000065</x:v>
      </x:c>
      <x:c r="D84" s="58" t="str">
        <x:v>GBU000065F0002</x:v>
      </x:c>
      <x:c r="E84" s="57" t="str">
        <x:v>Girls 13+</x:v>
      </x:c>
      <x:c r="F84" s="57" t="str">
        <x:v>Color Cosmetics</x:v>
      </x:c>
      <x:c r="G84" s="57" t="str">
        <x:v>Lips</x:v>
      </x:c>
      <x:c r="H84" s="60" t="str">
        <x:f>IF(I84&gt;0,"Да","Нет")</x:f>
        <x:v>Да</x:v>
      </x:c>
      <x:c r="I84" s="61" t="n">
        <x:v>1</x:v>
      </x:c>
    </x:row>
    <x:row r="85">
      <x:c r="A85" s="58" t="str">
        <x:v>GBU000065-3</x:v>
      </x:c>
      <x:c r="B85" s="62" t="str">
        <x:v>Бальзам для губ GBU000065 светло-розовый</x:v>
      </x:c>
      <x:c r="C85" s="58" t="str">
        <x:v>GBU000065</x:v>
      </x:c>
      <x:c r="D85" s="58" t="str">
        <x:v>GBU000065F0004</x:v>
      </x:c>
      <x:c r="E85" s="57" t="str">
        <x:v>Girls 13+</x:v>
      </x:c>
      <x:c r="F85" s="57" t="str">
        <x:v>Color Cosmetics</x:v>
      </x:c>
      <x:c r="G85" s="57" t="str">
        <x:v>Lips</x:v>
      </x:c>
      <x:c r="H85" s="60" t="str">
        <x:f>IF(I85&gt;0,"Да","Нет")</x:f>
        <x:v>Да</x:v>
      </x:c>
      <x:c r="I85" s="61" t="n">
        <x:v>1</x:v>
      </x:c>
    </x:row>
    <x:row r="86">
      <x:c r="A86" s="58" t="str">
        <x:v>GBU000065-4</x:v>
      </x:c>
      <x:c r="B86" s="62" t="str">
        <x:v>Бальзам для губ GBU000065 розовый/бежевый</x:v>
      </x:c>
      <x:c r="C86" s="58" t="str">
        <x:v>GBU000065</x:v>
      </x:c>
      <x:c r="D86" s="58" t="str">
        <x:v>GBU000065F0003</x:v>
      </x:c>
      <x:c r="E86" s="57" t="str">
        <x:v>Girls 13+</x:v>
      </x:c>
      <x:c r="F86" s="57" t="str">
        <x:v>Color Cosmetics</x:v>
      </x:c>
      <x:c r="G86" s="57" t="str">
        <x:v>Lips</x:v>
      </x:c>
      <x:c r="H86" s="60" t="str">
        <x:f>IF(I86&gt;0,"Да","Нет")</x:f>
        <x:v>Да</x:v>
      </x:c>
      <x:c r="I86" s="61" t="n">
        <x:v>1</x:v>
      </x:c>
    </x:row>
    <x:row r="87">
      <x:c r="A87" s="58" t="str">
        <x:v>GBU000066-1</x:v>
      </x:c>
      <x:c r="B87" s="62" t="str">
        <x:v>Тени для век GBU000066 бежевый</x:v>
      </x:c>
      <x:c r="C87" s="58" t="str">
        <x:v>GBU000066</x:v>
      </x:c>
      <x:c r="D87" s="58" t="str">
        <x:v>GBU000066F0001</x:v>
      </x:c>
      <x:c r="E87" s="57" t="str">
        <x:v>Girls 13+</x:v>
      </x:c>
      <x:c r="F87" s="57" t="str">
        <x:v>Color Cosmetics</x:v>
      </x:c>
      <x:c r="G87" s="57" t="str">
        <x:v>Eyes</x:v>
      </x:c>
      <x:c r="H87" s="60" t="str">
        <x:f>IF(I87&gt;0,"Да","Нет")</x:f>
        <x:v>Да</x:v>
      </x:c>
      <x:c r="I87" s="61" t="n">
        <x:v>1</x:v>
      </x:c>
    </x:row>
    <x:row r="88">
      <x:c r="A88" s="58" t="str">
        <x:v>GBU000066-2</x:v>
      </x:c>
      <x:c r="B88" s="62" t="str">
        <x:v>Тени для век GBU000066 коричневый</x:v>
      </x:c>
      <x:c r="C88" s="58" t="str">
        <x:v>GBU000066</x:v>
      </x:c>
      <x:c r="D88" s="58" t="str">
        <x:v>GBU000066F0002</x:v>
      </x:c>
      <x:c r="E88" s="57" t="str">
        <x:v>Girls 13+</x:v>
      </x:c>
      <x:c r="F88" s="57" t="str">
        <x:v>Color Cosmetics</x:v>
      </x:c>
      <x:c r="G88" s="57" t="str">
        <x:v>Eyes</x:v>
      </x:c>
      <x:c r="H88" s="60" t="str">
        <x:f>IF(I88&gt;0,"Да","Нет")</x:f>
        <x:v>Да</x:v>
      </x:c>
      <x:c r="I88" s="61" t="n">
        <x:v>1</x:v>
      </x:c>
    </x:row>
    <x:row r="89">
      <x:c r="A89" s="58" t="str">
        <x:v>GBU000066-3</x:v>
      </x:c>
      <x:c r="B89" s="62" t="str">
        <x:v>Тени для век GBU000066 розовый</x:v>
      </x:c>
      <x:c r="C89" s="58" t="str">
        <x:v>GBU000066</x:v>
      </x:c>
      <x:c r="D89" s="58" t="str">
        <x:v>GBU000066F0003</x:v>
      </x:c>
      <x:c r="E89" s="57" t="str">
        <x:v>Girls 13+</x:v>
      </x:c>
      <x:c r="F89" s="57" t="str">
        <x:v>Color Cosmetics</x:v>
      </x:c>
      <x:c r="G89" s="57" t="str">
        <x:v>Eyes</x:v>
      </x:c>
      <x:c r="H89" s="60" t="str">
        <x:f>IF(I89&gt;0,"Да","Нет")</x:f>
        <x:v>Да</x:v>
      </x:c>
      <x:c r="I89" s="61" t="n">
        <x:v>1</x:v>
      </x:c>
    </x:row>
    <x:row r="90">
      <x:c r="A90" s="58" t="str">
        <x:v>GBU000066-4</x:v>
      </x:c>
      <x:c r="B90" s="62" t="str">
        <x:v>Тени для век GBU000066 светло-коричневый</x:v>
      </x:c>
      <x:c r="C90" s="58" t="str">
        <x:v>GBU000066</x:v>
      </x:c>
      <x:c r="D90" s="58" t="str">
        <x:v>GBU000066F0004</x:v>
      </x:c>
      <x:c r="E90" s="57" t="str">
        <x:v>Girls 13+</x:v>
      </x:c>
      <x:c r="F90" s="57" t="str">
        <x:v>Color Cosmetics</x:v>
      </x:c>
      <x:c r="G90" s="57" t="str">
        <x:v>Eyes</x:v>
      </x:c>
      <x:c r="H90" s="60" t="str">
        <x:f>IF(I90&gt;0,"Да","Нет")</x:f>
        <x:v>Да</x:v>
      </x:c>
      <x:c r="I90" s="61" t="n">
        <x:v>1</x:v>
      </x:c>
    </x:row>
    <x:row r="91">
      <x:c r="A91" s="58" t="str">
        <x:v>GBU000067-1</x:v>
      </x:c>
      <x:c r="B91" s="62" t="str">
        <x:v>Масло для губ GBU000067 малиновый</x:v>
      </x:c>
      <x:c r="C91" s="58" t="str">
        <x:v>GBU000067</x:v>
      </x:c>
      <x:c r="D91" s="58" t="str">
        <x:v>GBU000067F0001</x:v>
      </x:c>
      <x:c r="E91" s="57" t="str">
        <x:v>Girls 13+</x:v>
      </x:c>
      <x:c r="F91" s="57" t="str">
        <x:v>Color Cosmetics</x:v>
      </x:c>
      <x:c r="G91" s="57" t="str">
        <x:v>Lips</x:v>
      </x:c>
      <x:c r="H91" s="60" t="str">
        <x:f>IF(I91&gt;0,"Да","Нет")</x:f>
        <x:v>Да</x:v>
      </x:c>
      <x:c r="I91" s="61" t="n">
        <x:v>1</x:v>
      </x:c>
    </x:row>
    <x:row r="92">
      <x:c r="A92" s="58" t="str">
        <x:v>GBU000067-2</x:v>
      </x:c>
      <x:c r="B92" s="62" t="str">
        <x:v>Масло для губ GBU000067 светло-розовый</x:v>
      </x:c>
      <x:c r="C92" s="58" t="str">
        <x:v>GBU000067</x:v>
      </x:c>
      <x:c r="D92" s="58" t="str">
        <x:v>GBU000067F0003</x:v>
      </x:c>
      <x:c r="E92" s="57" t="str">
        <x:v>Girls 13+</x:v>
      </x:c>
      <x:c r="F92" s="57" t="str">
        <x:v>Color Cosmetics</x:v>
      </x:c>
      <x:c r="G92" s="57" t="str">
        <x:v>Lips</x:v>
      </x:c>
      <x:c r="H92" s="60" t="str">
        <x:f>IF(I92&gt;0,"Да","Нет")</x:f>
        <x:v>Да</x:v>
      </x:c>
      <x:c r="I92" s="61" t="n">
        <x:v>1</x:v>
      </x:c>
    </x:row>
    <x:row r="93">
      <x:c r="A93" s="58" t="str">
        <x:v>GBU000067-3</x:v>
      </x:c>
      <x:c r="B93" s="62" t="str">
        <x:v>Масло для губ GBU000067 темно-малиновый</x:v>
      </x:c>
      <x:c r="C93" s="58" t="str">
        <x:v>GBU000067</x:v>
      </x:c>
      <x:c r="D93" s="58" t="str">
        <x:v>GBU000067F0004</x:v>
      </x:c>
      <x:c r="E93" s="57" t="str">
        <x:v>Girls 13+</x:v>
      </x:c>
      <x:c r="F93" s="57" t="str">
        <x:v>Color Cosmetics</x:v>
      </x:c>
      <x:c r="G93" s="57" t="str">
        <x:v>Lips</x:v>
      </x:c>
      <x:c r="H93" s="60" t="str">
        <x:f>IF(I93&gt;0,"Да","Нет")</x:f>
        <x:v>Да</x:v>
      </x:c>
      <x:c r="I93" s="61" t="n">
        <x:v>1</x:v>
      </x:c>
    </x:row>
    <x:row r="94">
      <x:c r="A94" s="58" t="str">
        <x:v>GBU000067-4</x:v>
      </x:c>
      <x:c r="B94" s="62" t="str">
        <x:v>Масло для губ GBU000067 прозрачный</x:v>
      </x:c>
      <x:c r="C94" s="58" t="str">
        <x:v>GBU000067</x:v>
      </x:c>
      <x:c r="D94" s="58" t="str">
        <x:v>GBU000067F0002</x:v>
      </x:c>
      <x:c r="E94" s="57" t="str">
        <x:v>Girls 13+</x:v>
      </x:c>
      <x:c r="F94" s="57" t="str">
        <x:v>Color Cosmetics</x:v>
      </x:c>
      <x:c r="G94" s="57" t="str">
        <x:v>Lips</x:v>
      </x:c>
      <x:c r="H94" s="60" t="str">
        <x:f>IF(I94&gt;0,"Да","Нет")</x:f>
        <x:v>Да</x:v>
      </x:c>
      <x:c r="I94" s="61" t="n">
        <x:v>1</x:v>
      </x:c>
    </x:row>
    <x:row r="95">
      <x:c r="A95" s="58" t="str">
        <x:v>GBU000068-1</x:v>
      </x:c>
      <x:c r="B95" s="62" t="str">
        <x:v>Тушь для ресниц GBU000068 черный</x:v>
      </x:c>
      <x:c r="C95" s="58" t="str">
        <x:v>GBU000068</x:v>
      </x:c>
      <x:c r="D95" s="58" t="str">
        <x:v>GBU000068F0005</x:v>
      </x:c>
      <x:c r="E95" s="57" t="str">
        <x:v>Girls 13+</x:v>
      </x:c>
      <x:c r="F95" s="57" t="str">
        <x:v>Color Cosmetics</x:v>
      </x:c>
      <x:c r="G95" s="57" t="str">
        <x:v>Eyes</x:v>
      </x:c>
      <x:c r="H95" s="60" t="str">
        <x:f>IF(I95&gt;0,"Да","Нет")</x:f>
        <x:v>Да</x:v>
      </x:c>
      <x:c r="I95" s="61" t="n">
        <x:v>1</x:v>
      </x:c>
    </x:row>
    <x:row r="96">
      <x:c r="A96" s="58" t="str">
        <x:v>GBU000068-2</x:v>
      </x:c>
      <x:c r="B96" s="62" t="str">
        <x:v>Тушь для ресниц GBU000068 коричневый</x:v>
      </x:c>
      <x:c r="C96" s="58" t="str">
        <x:v>GBU000068</x:v>
      </x:c>
      <x:c r="D96" s="58" t="str">
        <x:v>GBU000068F0002</x:v>
      </x:c>
      <x:c r="E96" s="57" t="str">
        <x:v>Girls 13+</x:v>
      </x:c>
      <x:c r="F96" s="57" t="str">
        <x:v>Color Cosmetics</x:v>
      </x:c>
      <x:c r="G96" s="57" t="str">
        <x:v>Eyes</x:v>
      </x:c>
      <x:c r="H96" s="60" t="str">
        <x:f>IF(I96&gt;0,"Да","Нет")</x:f>
        <x:v>Да</x:v>
      </x:c>
      <x:c r="I96" s="61" t="n">
        <x:v>1</x:v>
      </x:c>
    </x:row>
    <x:row r="97">
      <x:c r="A97" s="58" t="str">
        <x:v>GBU000068-3</x:v>
      </x:c>
      <x:c r="B97" s="62" t="str">
        <x:v>Тушь для ресниц GBU000068 зеленый</x:v>
      </x:c>
      <x:c r="C97" s="58" t="str">
        <x:v>GBU000068</x:v>
      </x:c>
      <x:c r="D97" s="58" t="str">
        <x:v>GBU000068F0001</x:v>
      </x:c>
      <x:c r="E97" s="57" t="str">
        <x:v>Girls 13+</x:v>
      </x:c>
      <x:c r="F97" s="57" t="str">
        <x:v>Color Cosmetics</x:v>
      </x:c>
      <x:c r="G97" s="57" t="str">
        <x:v>Eyes</x:v>
      </x:c>
      <x:c r="H97" s="60" t="str">
        <x:f>IF(I97&gt;0,"Да","Нет")</x:f>
        <x:v>Да</x:v>
      </x:c>
      <x:c r="I97" s="61" t="n">
        <x:v>1</x:v>
      </x:c>
    </x:row>
    <x:row r="98">
      <x:c r="A98" s="58" t="str">
        <x:v>GBU000068-4</x:v>
      </x:c>
      <x:c r="B98" s="62" t="str">
        <x:v>Тушь для ресниц GBU000068 синий</x:v>
      </x:c>
      <x:c r="C98" s="58" t="str">
        <x:v>GBU000068</x:v>
      </x:c>
      <x:c r="D98" s="58" t="str">
        <x:v>GBU000068F0004</x:v>
      </x:c>
      <x:c r="E98" s="57" t="str">
        <x:v>Girls 13+</x:v>
      </x:c>
      <x:c r="F98" s="57" t="str">
        <x:v>Color Cosmetics</x:v>
      </x:c>
      <x:c r="G98" s="57" t="str">
        <x:v>Eyes</x:v>
      </x:c>
      <x:c r="H98" s="60" t="str">
        <x:f>IF(I98&gt;0,"Да","Нет")</x:f>
        <x:v>Да</x:v>
      </x:c>
      <x:c r="I98" s="61" t="n">
        <x:v>1</x:v>
      </x:c>
    </x:row>
    <x:row r="99">
      <x:c r="A99" s="58" t="str">
        <x:v>GBU000068-5</x:v>
      </x:c>
      <x:c r="B99" s="62" t="str">
        <x:v>Тушь для ресниц GBU000068 розовый</x:v>
      </x:c>
      <x:c r="C99" s="58" t="str">
        <x:v>GBU000068</x:v>
      </x:c>
      <x:c r="D99" s="58" t="str">
        <x:v>GBU000068F0003</x:v>
      </x:c>
      <x:c r="E99" s="57" t="str">
        <x:v>Girls 13+</x:v>
      </x:c>
      <x:c r="F99" s="57" t="str">
        <x:v>Color Cosmetics</x:v>
      </x:c>
      <x:c r="G99" s="57" t="str">
        <x:v>Eyes</x:v>
      </x:c>
      <x:c r="H99" s="60" t="str">
        <x:f>IF(I99&gt;0,"Да","Нет")</x:f>
        <x:v>Да</x:v>
      </x:c>
      <x:c r="I99" s="61" t="n">
        <x:v>1</x:v>
      </x:c>
    </x:row>
    <x:row r="100">
      <x:c r="A100" s="58" t="str">
        <x:v>GBU000069-1</x:v>
      </x:c>
      <x:c r="B100" s="62" t="str">
        <x:v>Блеск для губ GBU000069 красный</x:v>
      </x:c>
      <x:c r="C100" s="58" t="str">
        <x:v>GBU000069</x:v>
      </x:c>
      <x:c r="D100" s="58" t="str">
        <x:v>GBU000069F0001</x:v>
      </x:c>
      <x:c r="E100" s="57" t="str">
        <x:v>Girls 13+</x:v>
      </x:c>
      <x:c r="F100" s="57" t="str">
        <x:v>Color Cosmetics</x:v>
      </x:c>
      <x:c r="G100" s="57" t="str">
        <x:v>Lips</x:v>
      </x:c>
      <x:c r="H100" s="60" t="str">
        <x:f>IF(I100&gt;0,"Да","Нет")</x:f>
        <x:v>Да</x:v>
      </x:c>
      <x:c r="I100" s="61" t="n">
        <x:v>1</x:v>
      </x:c>
    </x:row>
    <x:row r="101">
      <x:c r="A101" s="58" t="str">
        <x:v>GBU000069-2</x:v>
      </x:c>
      <x:c r="B101" s="62" t="str">
        <x:v>Блеск для губ GBU000069 розовый</x:v>
      </x:c>
      <x:c r="C101" s="58" t="str">
        <x:v>GBU000069</x:v>
      </x:c>
      <x:c r="D101" s="58" t="str">
        <x:v>GBU000069F0002</x:v>
      </x:c>
      <x:c r="E101" s="57" t="str">
        <x:v>Girls 13+</x:v>
      </x:c>
      <x:c r="F101" s="57" t="str">
        <x:v>Color Cosmetics</x:v>
      </x:c>
      <x:c r="G101" s="57" t="str">
        <x:v>Lips</x:v>
      </x:c>
      <x:c r="H101" s="60" t="str">
        <x:f>IF(I101&gt;0,"Да","Нет")</x:f>
        <x:v>Да</x:v>
      </x:c>
      <x:c r="I101" s="61" t="n">
        <x:v>1</x:v>
      </x:c>
    </x:row>
    <x:row r="102">
      <x:c r="A102" s="58" t="str">
        <x:v>GBU000069-3</x:v>
      </x:c>
      <x:c r="B102" s="62" t="str">
        <x:v>Блеск для губ GBU000069 розовый/бежевый</x:v>
      </x:c>
      <x:c r="C102" s="58" t="str">
        <x:v>GBU000069</x:v>
      </x:c>
      <x:c r="D102" s="58" t="str">
        <x:v>GBU000069F0003</x:v>
      </x:c>
      <x:c r="E102" s="57" t="str">
        <x:v>Girls 13+</x:v>
      </x:c>
      <x:c r="F102" s="57" t="str">
        <x:v>Color Cosmetics</x:v>
      </x:c>
      <x:c r="G102" s="57" t="str">
        <x:v>Lips</x:v>
      </x:c>
      <x:c r="H102" s="60" t="str">
        <x:f>IF(I102&gt;0,"Да","Нет")</x:f>
        <x:v>Да</x:v>
      </x:c>
      <x:c r="I102" s="61" t="n">
        <x:v>1</x:v>
      </x:c>
    </x:row>
    <x:row r="103">
      <x:c r="A103" s="58" t="str">
        <x:v>GBU000070-1</x:v>
      </x:c>
      <x:c r="B103" s="62" t="str">
        <x:v>Тинт для губ GBU000070 ярко-розовый</x:v>
      </x:c>
      <x:c r="C103" s="58" t="str">
        <x:v>GBU000070</x:v>
      </x:c>
      <x:c r="D103" s="58" t="str">
        <x:v>GBU000070F0004</x:v>
      </x:c>
      <x:c r="E103" s="57" t="str">
        <x:v>Girls 13+</x:v>
      </x:c>
      <x:c r="F103" s="57" t="str">
        <x:v>Color Cosmetics</x:v>
      </x:c>
      <x:c r="G103" s="57" t="str">
        <x:v>Lips</x:v>
      </x:c>
      <x:c r="H103" s="60" t="str">
        <x:f>IF(I103&gt;0,"Да","Нет")</x:f>
        <x:v>Да</x:v>
      </x:c>
      <x:c r="I103" s="61" t="n">
        <x:v>1</x:v>
      </x:c>
    </x:row>
    <x:row r="104">
      <x:c r="A104" s="58" t="str">
        <x:v>GBU000070-2</x:v>
      </x:c>
      <x:c r="B104" s="62" t="str">
        <x:v>Тинт для губ GBU000070 малиновый</x:v>
      </x:c>
      <x:c r="C104" s="58" t="str">
        <x:v>GBU000070</x:v>
      </x:c>
      <x:c r="D104" s="58" t="str">
        <x:v>GBU000070F0002</x:v>
      </x:c>
      <x:c r="E104" s="57" t="str">
        <x:v>Girls 13+</x:v>
      </x:c>
      <x:c r="F104" s="57" t="str">
        <x:v>Color Cosmetics</x:v>
      </x:c>
      <x:c r="G104" s="57" t="str">
        <x:v>Lips</x:v>
      </x:c>
      <x:c r="H104" s="60" t="str">
        <x:f>IF(I104&gt;0,"Да","Нет")</x:f>
        <x:v>Да</x:v>
      </x:c>
      <x:c r="I104" s="61" t="n">
        <x:v>1</x:v>
      </x:c>
    </x:row>
    <x:row r="105">
      <x:c r="A105" s="58" t="str">
        <x:v>GBU000070-3</x:v>
      </x:c>
      <x:c r="B105" s="62" t="str">
        <x:v>Тинт для губ GBU000070 розовый/бежевый</x:v>
      </x:c>
      <x:c r="C105" s="58" t="str">
        <x:v>GBU000070</x:v>
      </x:c>
      <x:c r="D105" s="58" t="str">
        <x:v>GBU000070F0003</x:v>
      </x:c>
      <x:c r="E105" s="57" t="str">
        <x:v>Girls 13+</x:v>
      </x:c>
      <x:c r="F105" s="57" t="str">
        <x:v>Color Cosmetics</x:v>
      </x:c>
      <x:c r="G105" s="57" t="str">
        <x:v>Lips</x:v>
      </x:c>
      <x:c r="H105" s="60" t="str">
        <x:f>IF(I105&gt;0,"Да","Нет")</x:f>
        <x:v>Да</x:v>
      </x:c>
      <x:c r="I105" s="61" t="n">
        <x:v>1</x:v>
      </x:c>
    </x:row>
    <x:row r="106">
      <x:c r="A106" s="58" t="str">
        <x:v>GBU000070-4</x:v>
      </x:c>
      <x:c r="B106" s="62" t="str">
        <x:v>Тинт для губ GBU000070 красный</x:v>
      </x:c>
      <x:c r="C106" s="58" t="str">
        <x:v>GBU000070</x:v>
      </x:c>
      <x:c r="D106" s="58" t="str">
        <x:v>GBU000070F0001</x:v>
      </x:c>
      <x:c r="E106" s="57" t="str">
        <x:v>Girls 13+</x:v>
      </x:c>
      <x:c r="F106" s="57" t="str">
        <x:v>Color Cosmetics</x:v>
      </x:c>
      <x:c r="G106" s="57" t="str">
        <x:v>Lips</x:v>
      </x:c>
      <x:c r="H106" s="60" t="str">
        <x:f>IF(I106&gt;0,"Да","Нет")</x:f>
        <x:v>Да</x:v>
      </x:c>
      <x:c r="I106" s="61" t="n">
        <x:v>1</x:v>
      </x:c>
    </x:row>
    <x:row r="107">
      <x:c r="A107" s="58" t="str">
        <x:v>GBU000071-1</x:v>
      </x:c>
      <x:c r="B107" s="62" t="str">
        <x:v>Набор теней для век GBU000071 разноцветный</x:v>
      </x:c>
      <x:c r="C107" s="58" t="str">
        <x:v>GBU000071</x:v>
      </x:c>
      <x:c r="D107" s="58" t="str">
        <x:v>GBU000071F0001</x:v>
      </x:c>
      <x:c r="E107" s="57" t="str">
        <x:v>Girls 13+</x:v>
      </x:c>
      <x:c r="F107" s="57" t="str">
        <x:v>Color Cosmetics</x:v>
      </x:c>
      <x:c r="G107" s="57" t="str">
        <x:v>Eyes</x:v>
      </x:c>
      <x:c r="H107" s="60" t="str">
        <x:f>IF(I107&gt;0,"Да","Нет")</x:f>
        <x:v>Да</x:v>
      </x:c>
      <x:c r="I107" s="61" t="n">
        <x:v>1</x:v>
      </x:c>
    </x:row>
    <x:row r="108">
      <x:c r="A108" s="58" t="str">
        <x:v>GBU000071-2</x:v>
      </x:c>
      <x:c r="B108" s="62" t="str">
        <x:v>Набор теней для век GBU000071 разноцветный/розовый</x:v>
      </x:c>
      <x:c r="C108" s="58" t="str">
        <x:v>GBU000071</x:v>
      </x:c>
      <x:c r="D108" s="58" t="str">
        <x:v>GBU000071F0002</x:v>
      </x:c>
      <x:c r="E108" s="57" t="str">
        <x:v>Girls 13+</x:v>
      </x:c>
      <x:c r="F108" s="57" t="str">
        <x:v>Color Cosmetics</x:v>
      </x:c>
      <x:c r="G108" s="57" t="str">
        <x:v>Eyes</x:v>
      </x:c>
      <x:c r="H108" s="60" t="str">
        <x:f>IF(I108&gt;0,"Да","Нет")</x:f>
        <x:v>Да</x:v>
      </x:c>
      <x:c r="I108" s="61" t="n">
        <x:v>1</x:v>
      </x:c>
    </x:row>
    <x:row r="109">
      <x:c r="A109" s="58" t="str">
        <x:v>GBU000072-1</x:v>
      </x:c>
      <x:c r="B109" s="62" t="str">
        <x:v>Румяна GBU000072 ярко-розовый</x:v>
      </x:c>
      <x:c r="C109" s="58" t="str">
        <x:v>GBU000072</x:v>
      </x:c>
      <x:c r="D109" s="58" t="str">
        <x:v>GBU000072F0003</x:v>
      </x:c>
      <x:c r="E109" s="57" t="str">
        <x:v>Girls 13+</x:v>
      </x:c>
      <x:c r="F109" s="57" t="str">
        <x:v>Color Cosmetics</x:v>
      </x:c>
      <x:c r="G109" s="57" t="str">
        <x:v>Face</x:v>
      </x:c>
      <x:c r="H109" s="60" t="str">
        <x:f>IF(I109&gt;0,"Да","Нет")</x:f>
        <x:v>Да</x:v>
      </x:c>
      <x:c r="I109" s="61" t="n">
        <x:v>1</x:v>
      </x:c>
    </x:row>
    <x:row r="110">
      <x:c r="A110" s="58" t="str">
        <x:v>GBU000072-2</x:v>
      </x:c>
      <x:c r="B110" s="62" t="str">
        <x:v>Румяна GBU000072 малиновый</x:v>
      </x:c>
      <x:c r="C110" s="58" t="str">
        <x:v>GBU000072</x:v>
      </x:c>
      <x:c r="D110" s="58" t="str">
        <x:v>GBU000072F0002</x:v>
      </x:c>
      <x:c r="E110" s="57" t="str">
        <x:v>Girls 13+</x:v>
      </x:c>
      <x:c r="F110" s="57" t="str">
        <x:v>Color Cosmetics</x:v>
      </x:c>
      <x:c r="G110" s="57" t="str">
        <x:v>Face</x:v>
      </x:c>
      <x:c r="H110" s="60" t="str">
        <x:f>IF(I110&gt;0,"Да","Нет")</x:f>
        <x:v>Да</x:v>
      </x:c>
      <x:c r="I110" s="61" t="n">
        <x:v>1</x:v>
      </x:c>
    </x:row>
    <x:row r="111">
      <x:c r="A111" s="58" t="str">
        <x:v>GBU000072-3</x:v>
      </x:c>
      <x:c r="B111" s="62" t="str">
        <x:v>Румяна GBU000072 красный</x:v>
      </x:c>
      <x:c r="C111" s="58" t="str">
        <x:v>GBU000072</x:v>
      </x:c>
      <x:c r="D111" s="58" t="str">
        <x:v>GBU000072F0001</x:v>
      </x:c>
      <x:c r="E111" s="57" t="str">
        <x:v>Girls 13+</x:v>
      </x:c>
      <x:c r="F111" s="57" t="str">
        <x:v>Color Cosmetics</x:v>
      </x:c>
      <x:c r="G111" s="57" t="str">
        <x:v>Face</x:v>
      </x:c>
      <x:c r="H111" s="60" t="str">
        <x:f>IF(I111&gt;0,"Да","Нет")</x:f>
        <x:v>Да</x:v>
      </x:c>
      <x:c r="I111" s="61" t="n">
        <x:v>1</x:v>
      </x:c>
    </x:row>
    <x:row r="112">
      <x:c r="A112" s="58" t="str">
        <x:v>GBU000073-1</x:v>
      </x:c>
      <x:c r="B112" s="62" t="str">
        <x:v>Тени для век GBU000073 светло-розовый</x:v>
      </x:c>
      <x:c r="C112" s="58" t="str">
        <x:v>GBU000073</x:v>
      </x:c>
      <x:c r="D112" s="58" t="str">
        <x:v>GBU000073F0003</x:v>
      </x:c>
      <x:c r="E112" s="57" t="str">
        <x:v>Girls 13+</x:v>
      </x:c>
      <x:c r="F112" s="57" t="str">
        <x:v>Color Cosmetics</x:v>
      </x:c>
      <x:c r="G112" s="57" t="str">
        <x:v>Eyes</x:v>
      </x:c>
      <x:c r="H112" s="60" t="str">
        <x:f>IF(I112&gt;0,"Да","Нет")</x:f>
        <x:v>Да</x:v>
      </x:c>
      <x:c r="I112" s="61" t="n">
        <x:v>1</x:v>
      </x:c>
    </x:row>
    <x:row r="113">
      <x:c r="A113" s="58" t="str">
        <x:v>GBU000073-2</x:v>
      </x:c>
      <x:c r="B113" s="62" t="str">
        <x:v>Тени для век GBU000073 разноцветный/белый</x:v>
      </x:c>
      <x:c r="C113" s="58" t="str">
        <x:v>GBU000073</x:v>
      </x:c>
      <x:c r="D113" s="58" t="str">
        <x:v>GBU000073F0002</x:v>
      </x:c>
      <x:c r="E113" s="57" t="str">
        <x:v>Girls 13+</x:v>
      </x:c>
      <x:c r="F113" s="57" t="str">
        <x:v>Color Cosmetics</x:v>
      </x:c>
      <x:c r="G113" s="57" t="str">
        <x:v>Eyes</x:v>
      </x:c>
      <x:c r="H113" s="60" t="str">
        <x:f>IF(I113&gt;0,"Да","Нет")</x:f>
        <x:v>Да</x:v>
      </x:c>
      <x:c r="I113" s="61" t="n">
        <x:v>1</x:v>
      </x:c>
    </x:row>
    <x:row r="114">
      <x:c r="A114" s="58" t="str">
        <x:v>GBU000073-3</x:v>
      </x:c>
      <x:c r="B114" s="62" t="str">
        <x:v>Тени для век GBU000073 золотистый</x:v>
      </x:c>
      <x:c r="C114" s="58" t="str">
        <x:v>GBU000073</x:v>
      </x:c>
      <x:c r="D114" s="58" t="str">
        <x:v>GBU000073F0001</x:v>
      </x:c>
      <x:c r="E114" s="57" t="str">
        <x:v>Girls 13+</x:v>
      </x:c>
      <x:c r="F114" s="57" t="str">
        <x:v>Color Cosmetics</x:v>
      </x:c>
      <x:c r="G114" s="57" t="str">
        <x:v>Eyes</x:v>
      </x:c>
      <x:c r="H114" s="60" t="str">
        <x:f>IF(I114&gt;0,"Да","Нет")</x:f>
        <x:v>Да</x:v>
      </x:c>
      <x:c r="I114" s="61" t="n">
        <x:v>1</x:v>
      </x:c>
    </x:row>
    <x:row r="115">
      <x:c r="A115" s="58" t="str">
        <x:v>GBU000073-4</x:v>
      </x:c>
      <x:c r="B115" s="62" t="str">
        <x:v>Тени для век GBU000073 фиолетовый</x:v>
      </x:c>
      <x:c r="C115" s="58" t="str">
        <x:v>GBU000073</x:v>
      </x:c>
      <x:c r="D115" s="58" t="str">
        <x:v>GBU000073F0004</x:v>
      </x:c>
      <x:c r="E115" s="57" t="str">
        <x:v>Girls 13+</x:v>
      </x:c>
      <x:c r="F115" s="57" t="str">
        <x:v>Color Cosmetics</x:v>
      </x:c>
      <x:c r="G115" s="57" t="str">
        <x:v>Eyes</x:v>
      </x:c>
      <x:c r="H115" s="60" t="str">
        <x:f>IF(I115&gt;0,"Да","Нет")</x:f>
        <x:v>Да</x:v>
      </x:c>
      <x:c r="I115" s="61" t="n">
        <x:v>1</x:v>
      </x:c>
    </x:row>
    <x:row r="116">
      <x:c r="A116" s="58" t="str">
        <x:v>GBU000074-1</x:v>
      </x:c>
      <x:c r="B116" s="62" t="str">
        <x:v>Хайлайтер GBU000074 светло-розовый</x:v>
      </x:c>
      <x:c r="C116" s="58" t="str">
        <x:v>GBU000074</x:v>
      </x:c>
      <x:c r="D116" s="58" t="str">
        <x:v>GBU000074F0002</x:v>
      </x:c>
      <x:c r="E116" s="57" t="str">
        <x:v>Girls 13+</x:v>
      </x:c>
      <x:c r="F116" s="57" t="str">
        <x:v>Color Cosmetics</x:v>
      </x:c>
      <x:c r="G116" s="57" t="str">
        <x:v>Face</x:v>
      </x:c>
      <x:c r="H116" s="60" t="str">
        <x:f>IF(I116&gt;0,"Да","Нет")</x:f>
        <x:v>Да</x:v>
      </x:c>
      <x:c r="I116" s="61" t="n">
        <x:v>1</x:v>
      </x:c>
    </x:row>
    <x:row r="117">
      <x:c r="A117" s="58" t="str">
        <x:v>GBU000074-2</x:v>
      </x:c>
      <x:c r="B117" s="62" t="str">
        <x:v>Хайлайтер GBU000074 золотистый</x:v>
      </x:c>
      <x:c r="C117" s="58" t="str">
        <x:v>GBU000074</x:v>
      </x:c>
      <x:c r="D117" s="58" t="str">
        <x:v>GBU000074F0001</x:v>
      </x:c>
      <x:c r="E117" s="57" t="str">
        <x:v>Girls 13+</x:v>
      </x:c>
      <x:c r="F117" s="57" t="str">
        <x:v>Color Cosmetics</x:v>
      </x:c>
      <x:c r="G117" s="57" t="str">
        <x:v>Face</x:v>
      </x:c>
      <x:c r="H117" s="60" t="str">
        <x:f>IF(I117&gt;0,"Да","Нет")</x:f>
        <x:v>Да</x:v>
      </x:c>
      <x:c r="I117" s="61" t="n">
        <x:v>1</x:v>
      </x:c>
    </x:row>
    <x:row r="118">
      <x:c r="A118" s="58" t="str">
        <x:v>GBU000075-1</x:v>
      </x:c>
      <x:c r="B118" s="62" t="str">
        <x:v>Гель для бровей GBU000075 коричневый</x:v>
      </x:c>
      <x:c r="C118" s="58" t="str">
        <x:v>GBU000075</x:v>
      </x:c>
      <x:c r="D118" s="58" t="str">
        <x:v>GBU000075F0001</x:v>
      </x:c>
      <x:c r="E118" s="57" t="str">
        <x:v>Girls 13+</x:v>
      </x:c>
      <x:c r="F118" s="57" t="str">
        <x:v>Color Cosmetics</x:v>
      </x:c>
      <x:c r="G118" s="57" t="str">
        <x:v>Eyes</x:v>
      </x:c>
      <x:c r="H118" s="60" t="str">
        <x:f>IF(I118&gt;0,"Да","Нет")</x:f>
        <x:v>Да</x:v>
      </x:c>
      <x:c r="I118" s="61" t="n">
        <x:v>1</x:v>
      </x:c>
    </x:row>
    <x:row r="119">
      <x:c r="A119" s="58" t="str">
        <x:v>GBU000075-2</x:v>
      </x:c>
      <x:c r="B119" s="62" t="str">
        <x:v>Гель для бровей GBU000075 темно-бежевый</x:v>
      </x:c>
      <x:c r="C119" s="58" t="str">
        <x:v>GBU000075</x:v>
      </x:c>
      <x:c r="D119" s="58" t="str">
        <x:v>GBU000075F0003</x:v>
      </x:c>
      <x:c r="E119" s="57" t="str">
        <x:v>Girls 13+</x:v>
      </x:c>
      <x:c r="F119" s="57" t="str">
        <x:v>Color Cosmetics</x:v>
      </x:c>
      <x:c r="G119" s="57" t="str">
        <x:v>Eyes</x:v>
      </x:c>
      <x:c r="H119" s="60" t="str">
        <x:f>IF(I119&gt;0,"Да","Нет")</x:f>
        <x:v>Да</x:v>
      </x:c>
      <x:c r="I119" s="61" t="n">
        <x:v>1</x:v>
      </x:c>
    </x:row>
    <x:row r="120">
      <x:c r="A120" s="58" t="str">
        <x:v>GBU000075-3</x:v>
      </x:c>
      <x:c r="B120" s="62" t="str">
        <x:v>Гель для бровей GBU000075 прозрачный</x:v>
      </x:c>
      <x:c r="C120" s="58" t="str">
        <x:v>GBU000075</x:v>
      </x:c>
      <x:c r="D120" s="58" t="str">
        <x:v>GBU000075F0002</x:v>
      </x:c>
      <x:c r="E120" s="57" t="str">
        <x:v>Girls 13+</x:v>
      </x:c>
      <x:c r="F120" s="57" t="str">
        <x:v>Color Cosmetics</x:v>
      </x:c>
      <x:c r="G120" s="57" t="str">
        <x:v>Eyes</x:v>
      </x:c>
      <x:c r="H120" s="60" t="str">
        <x:f>IF(I120&gt;0,"Да","Нет")</x:f>
        <x:v>Да</x:v>
      </x:c>
      <x:c r="I120" s="61" t="n">
        <x:v>1</x:v>
      </x:c>
    </x:row>
    <x:row r="121">
      <x:c r="A121" s="58" t="str">
        <x:v>GBU000076-1</x:v>
      </x:c>
      <x:c r="B121" s="62" t="str">
        <x:v>Лайнер для глаз GBU000076 черный</x:v>
      </x:c>
      <x:c r="C121" s="58" t="str">
        <x:v>GBU000076</x:v>
      </x:c>
      <x:c r="D121" s="58" t="str">
        <x:v>GBU000076F0005</x:v>
      </x:c>
      <x:c r="E121" s="57" t="str">
        <x:v>Girls 13+</x:v>
      </x:c>
      <x:c r="F121" s="57" t="str">
        <x:v>Color Cosmetics</x:v>
      </x:c>
      <x:c r="G121" s="57" t="str">
        <x:v>Eyes</x:v>
      </x:c>
      <x:c r="H121" s="60" t="str">
        <x:f>IF(I121&gt;0,"Да","Нет")</x:f>
        <x:v>Да</x:v>
      </x:c>
      <x:c r="I121" s="61" t="n">
        <x:v>1</x:v>
      </x:c>
    </x:row>
    <x:row r="122">
      <x:c r="A122" s="58" t="str">
        <x:v>GBU000076-2</x:v>
      </x:c>
      <x:c r="B122" s="62" t="str">
        <x:v>Лайнер для глаз GBU000076 коричневый</x:v>
      </x:c>
      <x:c r="C122" s="58" t="str">
        <x:v>GBU000076</x:v>
      </x:c>
      <x:c r="D122" s="58" t="str">
        <x:v>GBU000076F0002</x:v>
      </x:c>
      <x:c r="E122" s="57" t="str">
        <x:v>Girls 13+</x:v>
      </x:c>
      <x:c r="F122" s="57" t="str">
        <x:v>Color Cosmetics</x:v>
      </x:c>
      <x:c r="G122" s="57" t="str">
        <x:v>Eyes</x:v>
      </x:c>
      <x:c r="H122" s="60" t="str">
        <x:f>IF(I122&gt;0,"Да","Нет")</x:f>
        <x:v>Да</x:v>
      </x:c>
      <x:c r="I122" s="61" t="n">
        <x:v>1</x:v>
      </x:c>
    </x:row>
    <x:row r="123">
      <x:c r="A123" s="58" t="str">
        <x:v>GBU000076-3</x:v>
      </x:c>
      <x:c r="B123" s="62" t="str">
        <x:v>Лайнер для глаз GBU000076 зеленый</x:v>
      </x:c>
      <x:c r="C123" s="58" t="str">
        <x:v>GBU000076</x:v>
      </x:c>
      <x:c r="D123" s="58" t="str">
        <x:v>GBU000076F0001</x:v>
      </x:c>
      <x:c r="E123" s="57" t="str">
        <x:v>Girls 13+</x:v>
      </x:c>
      <x:c r="F123" s="57" t="str">
        <x:v>Color Cosmetics</x:v>
      </x:c>
      <x:c r="G123" s="57" t="str">
        <x:v>Eyes</x:v>
      </x:c>
      <x:c r="H123" s="60" t="str">
        <x:f>IF(I123&gt;0,"Да","Нет")</x:f>
        <x:v>Да</x:v>
      </x:c>
      <x:c r="I123" s="61" t="n">
        <x:v>1</x:v>
      </x:c>
    </x:row>
    <x:row r="124">
      <x:c r="A124" s="58" t="str">
        <x:v>GBU000076-4</x:v>
      </x:c>
      <x:c r="B124" s="62" t="str">
        <x:v>Лайнер для глаз GBU000076 розовый</x:v>
      </x:c>
      <x:c r="C124" s="58" t="str">
        <x:v>GBU000076</x:v>
      </x:c>
      <x:c r="D124" s="58" t="str">
        <x:v>GBU000076F0003</x:v>
      </x:c>
      <x:c r="E124" s="57" t="str">
        <x:v>Girls 13+</x:v>
      </x:c>
      <x:c r="F124" s="57" t="str">
        <x:v>Color Cosmetics</x:v>
      </x:c>
      <x:c r="G124" s="57" t="str">
        <x:v>Eyes</x:v>
      </x:c>
      <x:c r="H124" s="60" t="str">
        <x:f>IF(I124&gt;0,"Да","Нет")</x:f>
        <x:v>Да</x:v>
      </x:c>
      <x:c r="I124" s="61" t="n">
        <x:v>1</x:v>
      </x:c>
    </x:row>
    <x:row r="125">
      <x:c r="A125" s="58" t="str">
        <x:v>GBU000076-5</x:v>
      </x:c>
      <x:c r="B125" s="62" t="str">
        <x:v>Лайнер для глаз GBU000076 синий</x:v>
      </x:c>
      <x:c r="C125" s="58" t="str">
        <x:v>GBU000076</x:v>
      </x:c>
      <x:c r="D125" s="58" t="str">
        <x:v>GBU000076F0004</x:v>
      </x:c>
      <x:c r="E125" s="57" t="str">
        <x:v>Girls 13+</x:v>
      </x:c>
      <x:c r="F125" s="57" t="str">
        <x:v>Color Cosmetics</x:v>
      </x:c>
      <x:c r="G125" s="57" t="str">
        <x:v>Eyes</x:v>
      </x:c>
      <x:c r="H125" s="60" t="str">
        <x:f>IF(I125&gt;0,"Да","Нет")</x:f>
        <x:v>Да</x:v>
      </x:c>
      <x:c r="I125" s="61" t="n">
        <x:v>1</x:v>
      </x:c>
    </x:row>
    <x:row r="126">
      <x:c r="A126" s="58" t="str">
        <x:v>GBU000077-1</x:v>
      </x:c>
      <x:c r="B126" s="62" t="str">
        <x:v>Румяна GBU000077 ярко-розовый</x:v>
      </x:c>
      <x:c r="C126" s="58" t="str">
        <x:v>GBU000077</x:v>
      </x:c>
      <x:c r="D126" s="58" t="str">
        <x:v>GBU000077F0004</x:v>
      </x:c>
      <x:c r="E126" s="57" t="str">
        <x:v>Girls 13+</x:v>
      </x:c>
      <x:c r="F126" s="57" t="str">
        <x:v>Color Cosmetics</x:v>
      </x:c>
      <x:c r="G126" s="57" t="str">
        <x:v>Face</x:v>
      </x:c>
      <x:c r="H126" s="60" t="str">
        <x:f>IF(I126&gt;0,"Да","Нет")</x:f>
        <x:v>Да</x:v>
      </x:c>
      <x:c r="I126" s="61" t="n">
        <x:v>1</x:v>
      </x:c>
    </x:row>
    <x:row r="127">
      <x:c r="A127" s="58" t="str">
        <x:v>GBU000077-2</x:v>
      </x:c>
      <x:c r="B127" s="62" t="str">
        <x:v>Румяна GBU000077 малиновый</x:v>
      </x:c>
      <x:c r="C127" s="58" t="str">
        <x:v>GBU000077</x:v>
      </x:c>
      <x:c r="D127" s="58" t="str">
        <x:v>GBU000077F0001</x:v>
      </x:c>
      <x:c r="E127" s="57" t="str">
        <x:v>Girls 13+</x:v>
      </x:c>
      <x:c r="F127" s="57" t="str">
        <x:v>Color Cosmetics</x:v>
      </x:c>
      <x:c r="G127" s="57" t="str">
        <x:v>Face</x:v>
      </x:c>
      <x:c r="H127" s="60" t="str">
        <x:f>IF(I127&gt;0,"Да","Нет")</x:f>
        <x:v>Да</x:v>
      </x:c>
      <x:c r="I127" s="61" t="n">
        <x:v>1</x:v>
      </x:c>
    </x:row>
    <x:row r="128">
      <x:c r="A128" s="58" t="str">
        <x:v>GBU000077-3</x:v>
      </x:c>
      <x:c r="B128" s="62" t="str">
        <x:v>Румяна GBU000077 светло-розовый</x:v>
      </x:c>
      <x:c r="C128" s="58" t="str">
        <x:v>GBU000077</x:v>
      </x:c>
      <x:c r="D128" s="58" t="str">
        <x:v>GBU000077F0003</x:v>
      </x:c>
      <x:c r="E128" s="57" t="str">
        <x:v>Girls 13+</x:v>
      </x:c>
      <x:c r="F128" s="57" t="str">
        <x:v>Color Cosmetics</x:v>
      </x:c>
      <x:c r="G128" s="57" t="str">
        <x:v>Face</x:v>
      </x:c>
      <x:c r="H128" s="60" t="str">
        <x:f>IF(I128&gt;0,"Да","Нет")</x:f>
        <x:v>Да</x:v>
      </x:c>
      <x:c r="I128" s="61" t="n">
        <x:v>1</x:v>
      </x:c>
    </x:row>
    <x:row r="129">
      <x:c r="A129" s="58" t="str">
        <x:v>GBU000077-4</x:v>
      </x:c>
      <x:c r="B129" s="62" t="str">
        <x:v>Румяна GBU000077 розовый/бежевый</x:v>
      </x:c>
      <x:c r="C129" s="58" t="str">
        <x:v>GBU000077</x:v>
      </x:c>
      <x:c r="D129" s="58" t="str">
        <x:v>GBU000077F0002</x:v>
      </x:c>
      <x:c r="E129" s="57" t="str">
        <x:v>Girls 13+</x:v>
      </x:c>
      <x:c r="F129" s="57" t="str">
        <x:v>Color Cosmetics</x:v>
      </x:c>
      <x:c r="G129" s="57" t="str">
        <x:v>Face</x:v>
      </x:c>
      <x:c r="H129" s="60" t="str">
        <x:f>IF(I129&gt;0,"Да","Нет")</x:f>
        <x:v>Да</x:v>
      </x:c>
      <x:c r="I129" s="61" t="n">
        <x:v>1</x:v>
      </x:c>
    </x:row>
    <x:row r="130">
      <x:c r="A130" s="58" t="str">
        <x:v>GBU000078-1</x:v>
      </x:c>
      <x:c r="B130" s="62" t="str">
        <x:v>Масло для губ GBU000078 ярко-розовый</x:v>
      </x:c>
      <x:c r="C130" s="58" t="str">
        <x:v>GBU000078</x:v>
      </x:c>
      <x:c r="D130" s="58" t="str">
        <x:v>GBU000078F0006</x:v>
      </x:c>
      <x:c r="E130" s="57" t="str">
        <x:v>Girls 13+</x:v>
      </x:c>
      <x:c r="F130" s="57" t="str">
        <x:v>Color Cosmetics</x:v>
      </x:c>
      <x:c r="G130" s="57" t="str">
        <x:v>Lips</x:v>
      </x:c>
      <x:c r="H130" s="60" t="str">
        <x:f>IF(I130&gt;0,"Да","Нет")</x:f>
        <x:v>Да</x:v>
      </x:c>
      <x:c r="I130" s="61" t="n">
        <x:v>1</x:v>
      </x:c>
    </x:row>
    <x:row r="131">
      <x:c r="A131" s="58" t="str">
        <x:v>GBU000078-2</x:v>
      </x:c>
      <x:c r="B131" s="62" t="str">
        <x:v>Масло для губ GBU000078 малиновый</x:v>
      </x:c>
      <x:c r="C131" s="58" t="str">
        <x:v>GBU000078</x:v>
      </x:c>
      <x:c r="D131" s="58" t="str">
        <x:v>GBU000078F0003</x:v>
      </x:c>
      <x:c r="E131" s="57" t="str">
        <x:v>Girls 13+</x:v>
      </x:c>
      <x:c r="F131" s="57" t="str">
        <x:v>Color Cosmetics</x:v>
      </x:c>
      <x:c r="G131" s="57" t="str">
        <x:v>Lips</x:v>
      </x:c>
      <x:c r="H131" s="60" t="str">
        <x:f>IF(I131&gt;0,"Да","Нет")</x:f>
        <x:v>Да</x:v>
      </x:c>
      <x:c r="I131" s="61" t="n">
        <x:v>1</x:v>
      </x:c>
    </x:row>
    <x:row r="132">
      <x:c r="A132" s="58" t="str">
        <x:v>GBU000078-3</x:v>
      </x:c>
      <x:c r="B132" s="62" t="str">
        <x:v>Масло для губ GBU000078 желтый</x:v>
      </x:c>
      <x:c r="C132" s="58" t="str">
        <x:v>GBU000078</x:v>
      </x:c>
      <x:c r="D132" s="58" t="str">
        <x:v>GBU000078F0001</x:v>
      </x:c>
      <x:c r="E132" s="57" t="str">
        <x:v>Girls 13+</x:v>
      </x:c>
      <x:c r="F132" s="57" t="str">
        <x:v>Color Cosmetics</x:v>
      </x:c>
      <x:c r="G132" s="57" t="str">
        <x:v>Lips</x:v>
      </x:c>
      <x:c r="H132" s="60" t="str">
        <x:f>IF(I132&gt;0,"Да","Нет")</x:f>
        <x:v>Да</x:v>
      </x:c>
      <x:c r="I132" s="61" t="n">
        <x:v>1</x:v>
      </x:c>
    </x:row>
    <x:row r="133">
      <x:c r="A133" s="58" t="str">
        <x:v>GBU000078-4</x:v>
      </x:c>
      <x:c r="B133" s="62" t="str">
        <x:v>Масло для губ GBU000078 зеленый</x:v>
      </x:c>
      <x:c r="C133" s="58" t="str">
        <x:v>GBU000078</x:v>
      </x:c>
      <x:c r="D133" s="58" t="str">
        <x:v>GBU000078F0002</x:v>
      </x:c>
      <x:c r="E133" s="57" t="str">
        <x:v>Girls 13+</x:v>
      </x:c>
      <x:c r="F133" s="57" t="str">
        <x:v>Color Cosmetics</x:v>
      </x:c>
      <x:c r="G133" s="57" t="str">
        <x:v>Lips</x:v>
      </x:c>
      <x:c r="H133" s="60" t="str">
        <x:f>IF(I133&gt;0,"Да","Нет")</x:f>
        <x:v>Да</x:v>
      </x:c>
      <x:c r="I133" s="61" t="n">
        <x:v>1</x:v>
      </x:c>
    </x:row>
    <x:row r="134">
      <x:c r="A134" s="58" t="str">
        <x:v>GBU000078-5</x:v>
      </x:c>
      <x:c r="B134" s="62" t="str">
        <x:v>Масло для губ GBU000078 синий</x:v>
      </x:c>
      <x:c r="C134" s="58" t="str">
        <x:v>GBU000078</x:v>
      </x:c>
      <x:c r="D134" s="58" t="str">
        <x:v>GBU000078F0005</x:v>
      </x:c>
      <x:c r="E134" s="57" t="str">
        <x:v>Girls 13+</x:v>
      </x:c>
      <x:c r="F134" s="57" t="str">
        <x:v>Color Cosmetics</x:v>
      </x:c>
      <x:c r="G134" s="57" t="str">
        <x:v>Lips</x:v>
      </x:c>
      <x:c r="H134" s="60" t="str">
        <x:f>IF(I134&gt;0,"Да","Нет")</x:f>
        <x:v>Да</x:v>
      </x:c>
      <x:c r="I134" s="61" t="n">
        <x:v>1</x:v>
      </x:c>
    </x:row>
    <x:row r="135">
      <x:c r="A135" s="58" t="str">
        <x:v>GBU000078-6</x:v>
      </x:c>
      <x:c r="B135" s="62" t="str">
        <x:v>Масло для губ GBU000078 прозрачный</x:v>
      </x:c>
      <x:c r="C135" s="58" t="str">
        <x:v>GBU000078</x:v>
      </x:c>
      <x:c r="D135" s="58" t="str">
        <x:v>GBU000078F0004</x:v>
      </x:c>
      <x:c r="E135" s="57" t="str">
        <x:v>Girls 13+</x:v>
      </x:c>
      <x:c r="F135" s="57" t="str">
        <x:v>Color Cosmetics</x:v>
      </x:c>
      <x:c r="G135" s="57" t="str">
        <x:v>Lips</x:v>
      </x:c>
      <x:c r="H135" s="60" t="str">
        <x:f>IF(I135&gt;0,"Да","Нет")</x:f>
        <x:v>Да</x:v>
      </x:c>
      <x:c r="I135" s="61" t="n">
        <x:v>1</x:v>
      </x:c>
    </x:row>
    <x:row r="136">
      <x:c r="A136" s="58" t="str">
        <x:v>GBU000079-1</x:v>
      </x:c>
      <x:c r="B136" s="62" t="str">
        <x:v>Контуринг GBU000079 коричневый</x:v>
      </x:c>
      <x:c r="C136" s="58" t="str">
        <x:v>GBU000079</x:v>
      </x:c>
      <x:c r="D136" s="58" t="str">
        <x:v>GBU000079F0001</x:v>
      </x:c>
      <x:c r="E136" s="57" t="str">
        <x:v>Girls 13+</x:v>
      </x:c>
      <x:c r="F136" s="57" t="str">
        <x:v>Color Cosmetics</x:v>
      </x:c>
      <x:c r="G136" s="57" t="str">
        <x:v>Face</x:v>
      </x:c>
      <x:c r="H136" s="60" t="str">
        <x:f>IF(I136&gt;0,"Да","Нет")</x:f>
        <x:v>Да</x:v>
      </x:c>
      <x:c r="I136" s="61" t="n">
        <x:v>1</x:v>
      </x:c>
    </x:row>
    <x:row r="137">
      <x:c r="A137" s="58" t="str">
        <x:v>GBU000079-2</x:v>
      </x:c>
      <x:c r="B137" s="62" t="str">
        <x:v>Контуринг GBU000079 темно-бежевый</x:v>
      </x:c>
      <x:c r="C137" s="58" t="str">
        <x:v>GBU000079</x:v>
      </x:c>
      <x:c r="D137" s="58" t="str">
        <x:v>GBU000079F0002</x:v>
      </x:c>
      <x:c r="E137" s="57" t="str">
        <x:v>Girls 13+</x:v>
      </x:c>
      <x:c r="F137" s="57" t="str">
        <x:v>Color Cosmetics</x:v>
      </x:c>
      <x:c r="G137" s="57" t="str">
        <x:v>Face</x:v>
      </x:c>
      <x:c r="H137" s="60" t="str">
        <x:f>IF(I137&gt;0,"Да","Нет")</x:f>
        <x:v>Да</x:v>
      </x:c>
      <x:c r="I137" s="61" t="n">
        <x:v>1</x:v>
      </x:c>
    </x:row>
    <x:row r="138">
      <x:c r="A138" s="58" t="str">
        <x:v>GBU000080-1</x:v>
      </x:c>
      <x:c r="B138" s="62" t="str">
        <x:v>Румяна GBU000080 ярко-розовый</x:v>
      </x:c>
      <x:c r="C138" s="58" t="str">
        <x:v>GBU000080</x:v>
      </x:c>
      <x:c r="D138" s="58" t="str">
        <x:v>GBU000080F0003</x:v>
      </x:c>
      <x:c r="E138" s="57" t="str">
        <x:v>Girls 13+</x:v>
      </x:c>
      <x:c r="F138" s="57" t="str">
        <x:v>Color Cosmetics</x:v>
      </x:c>
      <x:c r="G138" s="57" t="str">
        <x:v>Face</x:v>
      </x:c>
      <x:c r="H138" s="60" t="str">
        <x:f>IF(I138&gt;0,"Да","Нет")</x:f>
        <x:v>Да</x:v>
      </x:c>
      <x:c r="I138" s="61" t="n">
        <x:v>1</x:v>
      </x:c>
    </x:row>
    <x:row r="139">
      <x:c r="A139" s="58" t="str">
        <x:v>GBU000080-2</x:v>
      </x:c>
      <x:c r="B139" s="62" t="str">
        <x:v>Румяна GBU000080 малиновый</x:v>
      </x:c>
      <x:c r="C139" s="58" t="str">
        <x:v>GBU000080</x:v>
      </x:c>
      <x:c r="D139" s="58" t="str">
        <x:v>GBU000080F0001</x:v>
      </x:c>
      <x:c r="E139" s="57" t="str">
        <x:v>Girls 13+</x:v>
      </x:c>
      <x:c r="F139" s="57" t="str">
        <x:v>Color Cosmetics</x:v>
      </x:c>
      <x:c r="G139" s="57" t="str">
        <x:v>Face</x:v>
      </x:c>
      <x:c r="H139" s="60" t="str">
        <x:f>IF(I139&gt;0,"Да","Нет")</x:f>
        <x:v>Да</x:v>
      </x:c>
      <x:c r="I139" s="61" t="n">
        <x:v>1</x:v>
      </x:c>
    </x:row>
    <x:row r="140">
      <x:c r="A140" s="58" t="str">
        <x:v>GBU000080-3</x:v>
      </x:c>
      <x:c r="B140" s="62" t="str">
        <x:v>Румяна GBU000080 розовый/бежевый</x:v>
      </x:c>
      <x:c r="C140" s="58" t="str">
        <x:v>GBU000080</x:v>
      </x:c>
      <x:c r="D140" s="58" t="str">
        <x:v>GBU000080F0002</x:v>
      </x:c>
      <x:c r="E140" s="57" t="str">
        <x:v>Girls 13+</x:v>
      </x:c>
      <x:c r="F140" s="57" t="str">
        <x:v>Color Cosmetics</x:v>
      </x:c>
      <x:c r="G140" s="57" t="str">
        <x:v>Face</x:v>
      </x:c>
      <x:c r="H140" s="60" t="str">
        <x:f>IF(I140&gt;0,"Да","Нет")</x:f>
        <x:v>Да</x:v>
      </x:c>
      <x:c r="I140" s="61" t="n">
        <x:v>1</x:v>
      </x:c>
    </x:row>
    <x:row r="141">
      <x:c r="A141" s="58" t="str">
        <x:v>GBU000094-1</x:v>
      </x:c>
      <x:c r="B141" s="62" t="str">
        <x:v>Переводные татуировки GBU000094 голографический</x:v>
      </x:c>
      <x:c r="C141" s="58" t="str">
        <x:v>GBU000094</x:v>
      </x:c>
      <x:c r="D141" s="58" t="str">
        <x:v>GBU000094F0001</x:v>
      </x:c>
      <x:c r="E141" s="57" t="str">
        <x:v>Girls 13+</x:v>
      </x:c>
      <x:c r="F141" s="57" t="str">
        <x:v>Accessories Beauty</x:v>
      </x:c>
      <x:c r="G141" s="57" t="str">
        <x:v>Color cosmetic</x:v>
      </x:c>
      <x:c r="H141" s="60" t="str">
        <x:f>IF(I141&gt;0,"Да","Нет")</x:f>
        <x:v>Нет</x:v>
      </x:c>
      <x:c r="I141" s="61" t="n">
        <x:v>0</x:v>
      </x:c>
    </x:row>
    <x:row r="142">
      <x:c r="A142" s="58" t="str">
        <x:v>GBU000094-2</x:v>
      </x:c>
      <x:c r="B142" s="62" t="str">
        <x:v>Переводные татуировки GBU000094 золотистый</x:v>
      </x:c>
      <x:c r="C142" s="58" t="str">
        <x:v>GBU000094</x:v>
      </x:c>
      <x:c r="D142" s="58" t="str">
        <x:v>GBU000094F0002</x:v>
      </x:c>
      <x:c r="E142" s="57" t="str">
        <x:v>Girls 13+</x:v>
      </x:c>
      <x:c r="F142" s="57" t="str">
        <x:v>Accessories Beauty</x:v>
      </x:c>
      <x:c r="G142" s="57" t="str">
        <x:v>Color cosmetic</x:v>
      </x:c>
      <x:c r="H142" s="60" t="str">
        <x:f>IF(I142&gt;0,"Да","Нет")</x:f>
        <x:v>Нет</x:v>
      </x:c>
      <x:c r="I142" s="61" t="n">
        <x:v>0</x:v>
      </x:c>
    </x:row>
    <x:row r="143">
      <x:c r="A143" s="58" t="str">
        <x:v>GBU000095-1</x:v>
      </x:c>
      <x:c r="B143" s="62" t="str">
        <x:v>Спонж для макияжа GBU000095 серебристый</x:v>
      </x:c>
      <x:c r="C143" s="58" t="str">
        <x:v>GBU000095</x:v>
      </x:c>
      <x:c r="D143" s="58" t="str">
        <x:v>GBU000095F0001</x:v>
      </x:c>
      <x:c r="E143" s="57" t="str">
        <x:v>Girls 13+</x:v>
      </x:c>
      <x:c r="F143" s="57" t="str">
        <x:v>Accessories Beauty</x:v>
      </x:c>
      <x:c r="G143" s="57" t="str">
        <x:v>Color cosmetic</x:v>
      </x:c>
      <x:c r="H143" s="60" t="str">
        <x:f>IF(I143&gt;0,"Да","Нет")</x:f>
        <x:v>Нет</x:v>
      </x:c>
      <x:c r="I143" s="61" t="n">
        <x:v>0</x:v>
      </x:c>
    </x:row>
    <x:row r="144">
      <x:c r="A144" s="58" t="str">
        <x:v>GBU000099-1</x:v>
      </x:c>
      <x:c r="B144" s="62" t="str">
        <x:v>Наклейки для ногтей GBU000099 разноцветный</x:v>
      </x:c>
      <x:c r="C144" s="58" t="str">
        <x:v>GBU000099</x:v>
      </x:c>
      <x:c r="D144" s="58" t="str">
        <x:v>GBU000099F0001</x:v>
      </x:c>
      <x:c r="E144" s="57" t="str">
        <x:v>Girls 2-8</x:v>
      </x:c>
      <x:c r="F144" s="57" t="str">
        <x:v>Accessories Beauty</x:v>
      </x:c>
      <x:c r="G144" s="57" t="str">
        <x:v>Color cosmetic</x:v>
      </x:c>
      <x:c r="H144" s="60" t="str">
        <x:f>IF(I144&gt;0,"Да","Нет")</x:f>
        <x:v>Нет</x:v>
      </x:c>
      <x:c r="I144" s="61" t="n">
        <x:v>0</x:v>
      </x:c>
    </x:row>
    <x:row r="145">
      <x:c r="A145" s="58" t="str">
        <x:v>GBU000100-1</x:v>
      </x:c>
      <x:c r="B145" s="62" t="str">
        <x:v>Наклейки для ногтей GBU000100 разноцветный</x:v>
      </x:c>
      <x:c r="C145" s="58" t="str">
        <x:v>GBU000100</x:v>
      </x:c>
      <x:c r="D145" s="58" t="str">
        <x:v>GBU000100F0001</x:v>
      </x:c>
      <x:c r="E145" s="57" t="str">
        <x:v>Girls 2-8</x:v>
      </x:c>
      <x:c r="F145" s="57" t="str">
        <x:v>Accessories Beauty</x:v>
      </x:c>
      <x:c r="G145" s="57" t="str">
        <x:v>Color cosmetic</x:v>
      </x:c>
      <x:c r="H145" s="60" t="str">
        <x:f>IF(I145&gt;0,"Да","Нет")</x:f>
        <x:v>Нет</x:v>
      </x:c>
      <x:c r="I145" s="61" t="n">
        <x:v>0</x:v>
      </x:c>
    </x:row>
    <x:row r="146">
      <x:c r="A146" s="58" t="str">
        <x:v>GBU000101-1</x:v>
      </x:c>
      <x:c r="B146" s="62" t="str">
        <x:v>Наклейки для ногтей GBU000101 разноцветный</x:v>
      </x:c>
      <x:c r="C146" s="58" t="str">
        <x:v>GBU000101</x:v>
      </x:c>
      <x:c r="D146" s="58" t="str">
        <x:v>GBU000101F0001</x:v>
      </x:c>
      <x:c r="E146" s="57" t="str">
        <x:v>Girls 2-8</x:v>
      </x:c>
      <x:c r="F146" s="57" t="str">
        <x:v>Accessories Beauty</x:v>
      </x:c>
      <x:c r="G146" s="57" t="str">
        <x:v>Color cosmetic</x:v>
      </x:c>
      <x:c r="H146" s="60" t="str">
        <x:f>IF(I146&gt;0,"Да","Нет")</x:f>
        <x:v>Нет</x:v>
      </x:c>
      <x:c r="I146" s="61" t="n">
        <x:v>0</x:v>
      </x:c>
    </x:row>
    <x:row r="147">
      <x:c r="A147" s="58" t="str">
        <x:v>GBU000102-1</x:v>
      </x:c>
      <x:c r="B147" s="62" t="str">
        <x:v>Наклейки для ногтей GBU000102 разноцветный</x:v>
      </x:c>
      <x:c r="C147" s="58" t="str">
        <x:v>GBU000102</x:v>
      </x:c>
      <x:c r="D147" s="58" t="str">
        <x:v>GBU000102F0001</x:v>
      </x:c>
      <x:c r="E147" s="57" t="str">
        <x:v>Girls 2-8</x:v>
      </x:c>
      <x:c r="F147" s="57" t="str">
        <x:v>Accessories Beauty</x:v>
      </x:c>
      <x:c r="G147" s="57" t="str">
        <x:v>Color cosmetic</x:v>
      </x:c>
      <x:c r="H147" s="60" t="str">
        <x:f>IF(I147&gt;0,"Да","Нет")</x:f>
        <x:v>Нет</x:v>
      </x:c>
      <x:c r="I147" s="61" t="n">
        <x:v>0</x:v>
      </x:c>
    </x:row>
    <x:row r="148">
      <x:c r="A148" s="58" t="str">
        <x:v>GBU000103-1</x:v>
      </x:c>
      <x:c r="B148" s="62" t="str">
        <x:v>Наклейки для ногтей GBU000103 разноцветный</x:v>
      </x:c>
      <x:c r="C148" s="58" t="str">
        <x:v>GBU000103</x:v>
      </x:c>
      <x:c r="D148" s="58" t="str">
        <x:v>GBU000103F0001</x:v>
      </x:c>
      <x:c r="E148" s="57" t="str">
        <x:v>Girls 2-8</x:v>
      </x:c>
      <x:c r="F148" s="57" t="str">
        <x:v>Accessories Beauty</x:v>
      </x:c>
      <x:c r="G148" s="57" t="str">
        <x:v>Color cosmetic</x:v>
      </x:c>
      <x:c r="H148" s="60" t="str">
        <x:f>IF(I148&gt;0,"Да","Нет")</x:f>
        <x:v>Нет</x:v>
      </x:c>
      <x:c r="I148" s="61" t="n">
        <x:v>0</x:v>
      </x:c>
    </x:row>
    <x:row r="149">
      <x:c r="A149" s="58" t="str">
        <x:v>GBU000104-1</x:v>
      </x:c>
      <x:c r="B149" s="62" t="str">
        <x:v>Трафареты GBU000104 разноцветный</x:v>
      </x:c>
      <x:c r="C149" s="58" t="str">
        <x:v>GBU000104</x:v>
      </x:c>
      <x:c r="D149" s="58" t="str">
        <x:v>GBU000104F0001</x:v>
      </x:c>
      <x:c r="E149" s="57" t="str">
        <x:v>Girls 2-8</x:v>
      </x:c>
      <x:c r="F149" s="57" t="str">
        <x:v>Accessories Beauty</x:v>
      </x:c>
      <x:c r="G149" s="57" t="str">
        <x:v>Color cosmetic</x:v>
      </x:c>
      <x:c r="H149" s="60" t="str">
        <x:f>IF(I149&gt;0,"Да","Нет")</x:f>
        <x:v>Нет</x:v>
      </x:c>
      <x:c r="I149" s="61" t="n">
        <x:v>0</x:v>
      </x:c>
    </x:row>
    <x:row r="150">
      <x:c r="A150" s="58" t="str">
        <x:v>GBU000107-1</x:v>
      </x:c>
      <x:c r="B150" s="62" t="str">
        <x:v>Стразы для лица GBU000107 разноцветный</x:v>
      </x:c>
      <x:c r="C150" s="58" t="str">
        <x:v>GBU000107</x:v>
      </x:c>
      <x:c r="D150" s="58" t="str">
        <x:v>GBU000107F0001</x:v>
      </x:c>
      <x:c r="E150" s="57" t="str">
        <x:v>Girls 13+</x:v>
      </x:c>
      <x:c r="F150" s="57" t="str">
        <x:v>Accessories Beauty</x:v>
      </x:c>
      <x:c r="G150" s="57" t="str">
        <x:v>Color cosmetic</x:v>
      </x:c>
      <x:c r="H150" s="60" t="str">
        <x:f>IF(I150&gt;0,"Да","Нет")</x:f>
        <x:v>Нет</x:v>
      </x:c>
      <x:c r="I150" s="61" t="n">
        <x:v>0</x:v>
      </x:c>
    </x:row>
    <x:row r="151">
      <x:c r="A151" s="58" t="str">
        <x:v>GBU000108-1</x:v>
      </x:c>
      <x:c r="B151" s="62" t="str">
        <x:v>Стразы для лица GBU000108 серебристый</x:v>
      </x:c>
      <x:c r="C151" s="58" t="str">
        <x:v>GBU000108</x:v>
      </x:c>
      <x:c r="D151" s="58" t="str">
        <x:v>GBU000108F0001</x:v>
      </x:c>
      <x:c r="E151" s="57" t="str">
        <x:v>Girls 13+</x:v>
      </x:c>
      <x:c r="F151" s="57" t="str">
        <x:v>Accessories Beauty</x:v>
      </x:c>
      <x:c r="G151" s="57" t="str">
        <x:v>Color cosmetic</x:v>
      </x:c>
      <x:c r="H151" s="60" t="str">
        <x:f>IF(I151&gt;0,"Да","Нет")</x:f>
        <x:v>Нет</x:v>
      </x:c>
      <x:c r="I151" s="61" t="n">
        <x:v>0</x:v>
      </x:c>
    </x:row>
    <x:row r="152">
      <x:c r="A152" s="58" t="str">
        <x:v>GBU000109-1</x:v>
      </x:c>
      <x:c r="B152" s="62" t="str">
        <x:v>Переводные татуировки GBU000109 разноцветный</x:v>
      </x:c>
      <x:c r="C152" s="58" t="str">
        <x:v>GBU000109</x:v>
      </x:c>
      <x:c r="D152" s="58" t="str">
        <x:v>GBU000109F0001</x:v>
      </x:c>
      <x:c r="E152" s="57" t="str">
        <x:v>Girls 13+</x:v>
      </x:c>
      <x:c r="F152" s="57" t="str">
        <x:v>Accessories Beauty</x:v>
      </x:c>
      <x:c r="G152" s="57" t="str">
        <x:v>Color cosmetic</x:v>
      </x:c>
      <x:c r="H152" s="60" t="str">
        <x:f>IF(I152&gt;0,"Да","Нет")</x:f>
        <x:v>Нет</x:v>
      </x:c>
      <x:c r="I152" s="61" t="n">
        <x:v>0</x:v>
      </x:c>
    </x:row>
    <x:row r="153">
      <x:c r="A153" s="58" t="str">
        <x:v>GBU000110-1</x:v>
      </x:c>
      <x:c r="B153" s="62" t="str">
        <x:v>Переводные татуировки GBU000110 разноцветный</x:v>
      </x:c>
      <x:c r="C153" s="58" t="str">
        <x:v>GBU000110</x:v>
      </x:c>
      <x:c r="D153" s="58" t="str">
        <x:v>GBU000110F0001</x:v>
      </x:c>
      <x:c r="E153" s="57" t="str">
        <x:v>Girls 13+</x:v>
      </x:c>
      <x:c r="F153" s="57" t="str">
        <x:v>Accessories Beauty</x:v>
      </x:c>
      <x:c r="G153" s="57" t="str">
        <x:v>Color cosmetic</x:v>
      </x:c>
      <x:c r="H153" s="60" t="str">
        <x:f>IF(I153&gt;0,"Да","Нет")</x:f>
        <x:v>Нет</x:v>
      </x:c>
      <x:c r="I153" s="61" t="n">
        <x:v>0</x:v>
      </x:c>
    </x:row>
    <x:row r="154">
      <x:c r="A154" s="58" t="str">
        <x:v>GBU000111-1</x:v>
      </x:c>
      <x:c r="B154" s="62" t="str">
        <x:v>Переводные татуировки GBU000111 разноцветный</x:v>
      </x:c>
      <x:c r="C154" s="58" t="str">
        <x:v>GBU000111</x:v>
      </x:c>
      <x:c r="D154" s="58" t="str">
        <x:v>GBU000111F0001</x:v>
      </x:c>
      <x:c r="E154" s="57" t="str">
        <x:v>Girls 13+</x:v>
      </x:c>
      <x:c r="F154" s="57" t="str">
        <x:v>Accessories Beauty</x:v>
      </x:c>
      <x:c r="G154" s="57" t="str">
        <x:v>Color cosmetic</x:v>
      </x:c>
      <x:c r="H154" s="60" t="str">
        <x:f>IF(I154&gt;0,"Да","Нет")</x:f>
        <x:v>Нет</x:v>
      </x:c>
      <x:c r="I154" s="61" t="n">
        <x:v>0</x:v>
      </x:c>
    </x:row>
    <x:row r="155">
      <x:c r="A155" s="58" t="str">
        <x:v>GBU000112-1</x:v>
      </x:c>
      <x:c r="B155" s="62" t="str">
        <x:v>Переводные татуировки GBU000112 разноцветный</x:v>
      </x:c>
      <x:c r="C155" s="58" t="str">
        <x:v>GBU000112</x:v>
      </x:c>
      <x:c r="D155" s="58" t="str">
        <x:v>GBU000112F0001</x:v>
      </x:c>
      <x:c r="E155" s="57" t="str">
        <x:v>Girls 13+</x:v>
      </x:c>
      <x:c r="F155" s="57" t="str">
        <x:v>Accessories Beauty</x:v>
      </x:c>
      <x:c r="G155" s="57" t="str">
        <x:v>Color cosmetic</x:v>
      </x:c>
      <x:c r="H155" s="60" t="str">
        <x:f>IF(I155&gt;0,"Да","Нет")</x:f>
        <x:v>Нет</x:v>
      </x:c>
      <x:c r="I155" s="61" t="n">
        <x:v>0</x:v>
      </x:c>
    </x:row>
    <x:row r="156">
      <x:c r="A156" s="58" t="str">
        <x:v>GBU000113-1</x:v>
      </x:c>
      <x:c r="B156" s="62" t="str">
        <x:v>Переводные татуировки GBU000113 золотистый</x:v>
      </x:c>
      <x:c r="C156" s="58" t="str">
        <x:v>GBU000113</x:v>
      </x:c>
      <x:c r="D156" s="58" t="str">
        <x:v>GBU000113F0001</x:v>
      </x:c>
      <x:c r="E156" s="57" t="str">
        <x:v>Girls 13+</x:v>
      </x:c>
      <x:c r="F156" s="57" t="str">
        <x:v>Accessories Beauty</x:v>
      </x:c>
      <x:c r="G156" s="57" t="str">
        <x:v>Color cosmetic</x:v>
      </x:c>
      <x:c r="H156" s="60" t="str">
        <x:f>IF(I156&gt;0,"Да","Нет")</x:f>
        <x:v>Нет</x:v>
      </x:c>
      <x:c r="I156" s="61" t="n">
        <x:v>0</x:v>
      </x:c>
    </x:row>
  </x:sheetData>
  <x:mergeCells>
    <x:mergeCell ref="A1:I1"/>
    <x:mergeCell ref="A2:I2"/>
  </x:mergeCells>
  <x:conditionalFormatting sqref="H4:H156">
    <x:cfRule type="containsText" dxfId="0" priority="1" operator="containsText" text="Да"/>
    <x:cfRule type="containsText" dxfId="1" priority="2" operator="containsText" text="Нет"/>
  </x:conditionalFormatting>
  <x:pageMargins left="0.7" right="0.7" top="0.75" bottom="0.75" header="0.3" footer="0.3"/>
  <x:tableParts count="1">
    <x:tablePart xmlns:r="http://schemas.openxmlformats.org/officeDocument/2006/relationships" r:id="R9eac9f9ee53340ee"/>
  </x:tableParts>
</x:worksheet>
</file>