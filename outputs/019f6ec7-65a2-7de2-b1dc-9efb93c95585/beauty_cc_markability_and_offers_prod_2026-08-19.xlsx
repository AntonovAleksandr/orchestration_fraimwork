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e40eeb620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be1469f64b44d03"/>
    <x:sheet xmlns:r="http://schemas.openxmlformats.org/officeDocument/2006/relationships" name="Артикулы CC" sheetId="2" r:id="R626072fe68064baf"/>
    <x:sheet xmlns:r="http://schemas.openxmlformats.org/officeDocument/2006/relationships" name="Офферы" sheetId="3" r:id="R707ae9d4005c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"/>
    <x:numFmt numFmtId="202" formatCode="@"/>
    <x:numFmt numFmtId="203" formatCode="0"/>
    <x:numFmt numFmtId="204" formatCode="yyyy-mm-dd"/>
    <x:numFmt numFmtId="205" formatCode="yyyy-mm-dd hh:mm"/>
  </x:numFmts>
  <x:fonts count="11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Aptos"/>
    </x:font>
    <x:font>
      <x:b/>
      <x:sz val="11"/>
      <x:color rgb="FF17365D"/>
      <x:name val="Aptos"/>
    </x:font>
    <x:font>
      <x:b/>
      <x:sz val="14"/>
      <x:color rgb="FF1F1F1F"/>
      <x:name val="Aptos"/>
    </x:font>
    <x:font>
      <x:sz val="11"/>
      <x:color rgb="FF404040"/>
      <x:name val="Aptos"/>
    </x:font>
    <x:font>
      <x:b/>
      <x:sz val="18"/>
      <x:color rgb="FFFFFFFF"/>
      <x:name val="Aptos"/>
    </x:font>
    <x:font>
      <x:b/>
      <x:sz val="16"/>
      <x:color rgb="FFFFFFFF"/>
      <x:name val="Aptos Display"/>
    </x:font>
    <x:font>
      <x:i/>
      <x:sz val="11"/>
      <x:color rgb="FF44546A"/>
      <x:name val="Aptos"/>
    </x:font>
    <x:font>
      <x:sz val="10"/>
      <x:name val="Aptos"/>
    </x:font>
    <x:font>
      <x:sz val="9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rgb="FFB4C7DC"/>
      </x:left>
      <x:top style="thin">
        <x:color rgb="FFB4C7DC"/>
      </x:top>
    </x:border>
    <x:border>
      <x:right style="thin">
        <x:color rgb="FFB4C7DC"/>
      </x:right>
      <x:top style="thin">
        <x:color rgb="FFB4C7DC"/>
      </x:top>
    </x:border>
    <x:border>
      <x:left style="thin">
        <x:color rgb="FFB4C7DC"/>
      </x:left>
    </x:border>
    <x:border>
      <x:right style="thin">
        <x:color rgb="FFB4C7DC"/>
      </x:right>
    </x:border>
    <x:border>
      <x:left style="thin">
        <x:color rgb="FFB4C7DC"/>
      </x:left>
      <x:bottom style="thin">
        <x:color rgb="FFB4C7DC"/>
      </x:bottom>
    </x:border>
    <x:border>
      <x:right style="thin">
        <x:color rgb="FFB4C7DC"/>
      </x:right>
      <x:bottom style="thin">
        <x:color rgb="FFB4C7DC"/>
      </x:bottom>
    </x:border>
    <x:border>
      <x:top style="thin">
        <x:color rgb="FFB4C7DC"/>
      </x:top>
    </x:border>
    <x:border>
      <x:bottom style="thin">
        <x:color rgb="FFB4C7DC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right"/>
    </x:xf>
    <x:xf numFmtId="0" fontId="2" fillId="2" borderId="1" xfId="0" applyNumberFormat="1" applyFont="1" applyFill="1" applyBorder="1" applyAlignment="1">
      <x:alignment horizontal="left"/>
    </x:xf>
    <x:xf numFmtId="0" fontId="2" fillId="2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4" fillId="4" borderId="4" xfId="0" applyNumberFormat="1" applyFont="1" applyFill="1" applyBorder="1" applyAlignment="1">
      <x:alignment horizontal="right"/>
    </x:xf>
    <x:xf numFmtId="0" fontId="3" fillId="3" borderId="5" xfId="0" applyNumberFormat="1" applyFont="1" applyFill="1" applyBorder="1"/>
    <x:xf numFmtId="0" fontId="4" fillId="4" borderId="6" xfId="0" applyNumberFormat="1" applyFont="1" applyFill="1" applyBorder="1" applyAlignment="1">
      <x:alignment horizontal="right"/>
    </x:xf>
    <x:xf numFmtId="200" fontId="4" fillId="4" borderId="4" xfId="0" applyNumberFormat="1" applyFont="1" applyFill="1" applyBorder="1" applyAlignment="1">
      <x:alignment horizontal="right"/>
    </x:xf>
    <x:xf numFmtId="201" fontId="4" fillId="4" borderId="4" xfId="0" applyNumberFormat="1" applyFont="1" applyFill="1" applyBorder="1" applyAlignment="1">
      <x:alignment horizontal="right"/>
    </x:xf>
    <x:xf numFmtId="201" fontId="4" fillId="4" borderId="6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7" xfId="0" applyNumberFormat="1" applyFont="1" applyFill="1" applyBorder="1"/>
    <x:xf numFmtId="0" fontId="5" fillId="4" borderId="2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0" fontId="5" fillId="4" borderId="6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203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right"/>
    </x:xf>
    <x:xf numFmtId="0" fontId="2" fillId="7" borderId="1" xfId="0" applyNumberFormat="1" applyFont="1" applyFill="1" applyBorder="1" applyAlignment="1">
      <x:alignment horizontal="left"/>
    </x:xf>
    <x:xf numFmtId="0" fontId="2" fillId="7" borderId="2" xfId="0" applyNumberFormat="1" applyFont="1" applyFill="1" applyBorder="1" applyAlignment="1">
      <x:alignment horizontal="left"/>
    </x:xf>
    <x:xf numFmtId="0" fontId="3" fillId="8" borderId="3" xfId="0" applyNumberFormat="1" applyFont="1" applyFill="1" applyBorder="1"/>
    <x:xf numFmtId="0" fontId="4" fillId="9" borderId="4" xfId="0" applyNumberFormat="1" applyFont="1" applyFill="1" applyBorder="1" applyAlignment="1">
      <x:alignment horizontal="right"/>
    </x:xf>
    <x:xf numFmtId="0" fontId="3" fillId="8" borderId="5" xfId="0" applyNumberFormat="1" applyFont="1" applyFill="1" applyBorder="1"/>
    <x:xf numFmtId="0" fontId="4" fillId="9" borderId="6" xfId="0" applyNumberFormat="1" applyFont="1" applyFill="1" applyBorder="1" applyAlignment="1">
      <x:alignment horizontal="right"/>
    </x:xf>
    <x:xf numFmtId="201" fontId="4" fillId="9" borderId="4" xfId="0" applyNumberFormat="1" applyFont="1" applyFill="1" applyBorder="1" applyAlignment="1">
      <x:alignment horizontal="right"/>
    </x:xf>
    <x:xf numFmtId="201" fontId="4" fillId="9" borderId="6" xfId="0" applyNumberFormat="1" applyFont="1" applyFill="1" applyBorder="1" applyAlignment="1">
      <x:alignment horizontal="right"/>
    </x:xf>
    <x:xf numFmtId="200" fontId="4" fillId="9" borderId="4" xfId="0" applyNumberFormat="1" applyFont="1" applyFill="1" applyBorder="1" applyAlignment="1">
      <x:alignment horizontal="right"/>
    </x:xf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7" xfId="0" applyNumberFormat="1" applyFont="1" applyFill="1" applyBorder="1"/>
    <x:xf numFmtId="0" fontId="5" fillId="9" borderId="2" xfId="0" applyNumberFormat="1" applyFont="1" applyFill="1" applyBorder="1"/>
    <x:xf numFmtId="0" fontId="5" fillId="9" borderId="5" xfId="0" applyNumberFormat="1" applyFont="1" applyFill="1" applyBorder="1"/>
    <x:xf numFmtId="0" fontId="5" fillId="9" borderId="8" xfId="0" applyNumberFormat="1" applyFont="1" applyFill="1" applyBorder="1"/>
    <x:xf numFmtId="0" fontId="5" fillId="9" borderId="6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7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5" fillId="9" borderId="8" xfId="0" applyNumberFormat="1" applyFont="1" applyFill="1" applyBorder="1" applyAlignment="1">
      <x:alignment wrapText="1"/>
    </x:xf>
    <x:xf numFmtId="0" fontId="5" fillId="9" borderId="6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vertical="top" wrapText="1"/>
    </x:xf>
    <x:xf numFmtId="0" fontId="5" fillId="9" borderId="7" xfId="0" applyNumberFormat="1" applyFont="1" applyFill="1" applyBorder="1" applyAlignment="1">
      <x:alignment vertical="top" wrapText="1"/>
    </x:xf>
    <x:xf numFmtId="0" fontId="5" fillId="9" borderId="2" xfId="0" applyNumberFormat="1" applyFont="1" applyFill="1" applyBorder="1" applyAlignment="1">
      <x:alignment vertical="top" wrapText="1"/>
    </x:xf>
    <x:xf numFmtId="0" fontId="5" fillId="9" borderId="5" xfId="0" applyNumberFormat="1" applyFont="1" applyFill="1" applyBorder="1" applyAlignment="1">
      <x:alignment vertical="top" wrapText="1"/>
    </x:xf>
    <x:xf numFmtId="0" fontId="5" fillId="9" borderId="8" xfId="0" applyNumberFormat="1" applyFont="1" applyFill="1" applyBorder="1" applyAlignment="1">
      <x:alignment vertical="top" wrapText="1"/>
    </x:xf>
    <x:xf numFmtId="0" fontId="5" fillId="9" borderId="6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201" fontId="10" fillId="0" borderId="0" xfId="0" applyNumberFormat="1" applyFont="1" applyFill="1" applyBorder="1"/>
    <x:xf numFmtId="204" fontId="10" fillId="0" borderId="0" xfId="0" applyNumberFormat="1" applyFont="1" applyFill="1" applyBorder="1"/>
    <x:xf numFmtId="205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204" fontId="10" fillId="0" borderId="0" xfId="0" applyNumberFormat="1" applyFont="1" applyFill="1" applyBorder="1" applyAlignment="1">
      <x:alignment horizontal="center"/>
    </x:xf>
    <x:xf numFmtId="205" fontId="1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2">
    <x:dxf>
      <x:font>
        <x:b/>
        <x:color rgb="FF2F6B2F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b839ae68c491b" /><Relationship Type="http://schemas.openxmlformats.org/officeDocument/2006/relationships/theme" Target="/xl/theme/theme1.xml" Id="Re8e9e97925c34131" /><Relationship Type="http://schemas.openxmlformats.org/officeDocument/2006/relationships/sharedStrings" Target="/xl/sharedStrings.xml" Id="R82b38d22b114446e" /><Relationship Type="http://schemas.openxmlformats.org/officeDocument/2006/relationships/worksheet" Target="/xl/worksheets/sheet1.xml" Id="R0be1469f64b44d03" /><Relationship Type="http://schemas.openxmlformats.org/officeDocument/2006/relationships/worksheet" Target="/xl/worksheets/sheet2.xml" Id="R626072fe68064baf" /><Relationship Type="http://schemas.openxmlformats.org/officeDocument/2006/relationships/worksheet" Target="/xl/worksheets/sheet3.xml" Id="R707ae9d4005c4e52" /></Relationships>
</file>

<file path=xl/tables/table1.xml><?xml version="1.0" encoding="utf-8"?>
<x:table xmlns:x="http://schemas.openxmlformats.org/spreadsheetml/2006/main" id="1" name="BeautyCcMarkability" displayName="BeautyCcMarkability" ref="A3:I156" headerRowCount="1" totalsRowCount="0" totalsRowShown="0">
  <x:autoFilter ref="A3:I156"/>
  <x:tableColumns count="9">
    <x:tableColumn id="1" name="Артикул CC"/>
    <x:tableColumn id="2" name="Наименование"/>
    <x:tableColumn id="3" name="Модель"/>
    <x:tableColumn id="4" name="Артикул SKU"/>
    <x:tableColumn id="5" name="Целевая группа"/>
    <x:tableColumn id="6" name="Департамент"/>
    <x:tableColumn id="7" name="Категория"/>
    <x:tableColumn id="8" name="Маркируемый"/>
    <x:tableColumn id="9" name="mark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autyCcOffers" displayName="BeautyCcOffers" ref="A3:S156" headerRowCount="1" totalsRowCount="0" totalsRowShown="0">
  <x:autoFilter ref="A3:S156"/>
  <x:tableColumns count="19">
    <x:tableColumn id="1" name="Артикул CC"/>
    <x:tableColumn id="2" name="Наименование"/>
    <x:tableColumn id="3" name="Артикул SKU"/>
    <x:tableColumn id="4" name="Модель"/>
    <x:tableColumn id="5" name="Статус PIM"/>
    <x:tableColumn id="6" name="Состояние оффера"/>
    <x:tableColumn id="7" name="Цена есть"/>
    <x:tableColumn id="8" name="Мин. цена РФ, ₽"/>
    <x:tableColumn id="9" name="Макс. цена РФ, ₽"/>
    <x:tableColumn id="10" name="Регионов РФ с ценой"/>
    <x:tableColumn id="11" name="Остаток есть"/>
    <x:tableColumn id="12" name="Суммарный остаток (raw)"/>
    <x:tableColumn id="13" name="Точек с остатком"/>
    <x:tableColumn id="14" name="Регионов с остатком"/>
    <x:tableColumn id="15" name="Доступных регионов"/>
    <x:tableColumn id="16" name="Региональных offers"/>
    <x:tableColumn id="17" name="Дата начала продаж"/>
    <x:tableColumn id="18" name="Обновление offer, МСК"/>
    <x:tableColumn id="19" name="Модель в Off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35c43cf57c48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677508374e4c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4" hidden="0" customWidth="1"/>
    <x:col min="4" max="4" width="24" hidden="0" customWidth="1"/>
    <x:col min="5" max="5" width="16" hidden="0" customWidth="1"/>
    <x:col min="6" max="6" width="4" hidden="0" customWidth="1"/>
  </x:cols>
  <x:sheetData>
    <x:row r="1" ht="34" customHeight="1">
      <x:c r="A1" s="50" t="str">
        <x:v>Beauty — маркируемость и офферы CC</x:v>
      </x:c>
      <x:c r="B1" s="50"/>
      <x:c r="C1" s="50"/>
      <x:c r="D1" s="50"/>
      <x:c r="E1" s="50"/>
      <x:c r="F1" s="50"/>
    </x:row>
    <x:row r="3">
      <x:c r="A3" s="12" t="str">
        <x:v>Показатель</x:v>
      </x:c>
      <x:c r="B3" s="13" t="str">
        <x:v>Значение</x:v>
      </x:c>
      <x:c r="D3" s="12" t="str">
        <x:v>Контроль</x:v>
      </x:c>
      <x:c r="E3" s="13" t="str">
        <x:v>Значение</x:v>
      </x:c>
    </x:row>
    <x:row r="4">
      <x:c r="A4" s="14" t="str">
        <x:v>Всего артикулов CC</x:v>
      </x:c>
      <x:c r="B4" s="19" t="n">
        <x:f>COUNTA('Артикулы CC'!$A$4:$A$156)</x:f>
        <x:v>153</x:v>
      </x:c>
      <x:c r="D4" s="14" t="str">
        <x:v>Маркируемых, %</x:v>
      </x:c>
      <x:c r="E4" s="18" t="n">
        <x:f>B5/B4</x:f>
        <x:v>0.8431372549019608</x:v>
      </x:c>
    </x:row>
    <x:row r="5">
      <x:c r="A5" s="14" t="str">
        <x:v>Маркируемые</x:v>
      </x:c>
      <x:c r="B5" s="19" t="n">
        <x:f>COUNTIF('Артикулы CC'!$H$4:$H$156,"Да")</x:f>
        <x:v>129</x:v>
      </x:c>
      <x:c r="D5" s="14" t="str">
        <x:v>Строк с mark_type=1</x:v>
      </x:c>
      <x:c r="E5" s="19" t="n">
        <x:f>COUNTIF('Артикулы CC'!$I$4:$I$156,1)</x:f>
        <x:v>129</x:v>
      </x:c>
    </x:row>
    <x:row r="6">
      <x:c r="A6" s="16" t="str">
        <x:v>Не маркируемые</x:v>
      </x:c>
      <x:c r="B6" s="20" t="n">
        <x:f>COUNTIF('Артикулы CC'!$H$4:$H$156,"Нет")</x:f>
        <x:v>24</x:v>
      </x:c>
      <x:c r="D6" s="16" t="str">
        <x:v>Строк с mark_type=0</x:v>
      </x:c>
      <x:c r="E6" s="20" t="n">
        <x:f>COUNTIF('Артикулы CC'!$I$4:$I$156,0)</x:f>
        <x:v>24</x:v>
      </x:c>
    </x:row>
    <x:row r="8">
      <x:c r="A8" s="22" t="str">
        <x:v>Определение признака</x:v>
      </x:c>
      <x:c r="B8" s="22"/>
      <x:c r="C8" s="22"/>
      <x:c r="D8" s="22"/>
      <x:c r="E8" s="22"/>
      <x:c r="F8" s="22"/>
    </x:row>
    <x:row r="9">
      <x:c r="A9" s="36" t="str">
        <x:v>Маркируемый = «Да», если PIM sku_products.mark_type &gt; 0. В текущем наборе у каждого CC ровно один SKU; смешанных значений нет.</x:v>
      </x:c>
      <x:c r="B9" s="37"/>
      <x:c r="C9" s="37"/>
      <x:c r="D9" s="37"/>
      <x:c r="E9" s="37"/>
      <x:c r="F9" s="38"/>
    </x:row>
    <x:row r="10">
      <x:c r="A10" s="39"/>
      <x:c r="B10" s="40"/>
      <x:c r="C10" s="40"/>
      <x:c r="D10" s="40"/>
      <x:c r="E10" s="40"/>
      <x:c r="F10" s="41"/>
    </x:row>
    <x:row r="12">
      <x:c r="A12" s="22" t="str">
        <x:v>Источник и срез данных</x:v>
      </x:c>
      <x:c r="B12" s="22"/>
      <x:c r="C12" s="22"/>
      <x:c r="D12" s="22"/>
      <x:c r="E12" s="22"/>
      <x:c r="F12" s="22"/>
    </x:row>
    <x:row r="13">
      <x:c r="A13" s="36" t="str">
        <x:v>Production-срез 2026-08-19 13:34 МСК. Источники: ensi-gs-webapi-connector-prod, ensi-gs-pim-prod, ensi-gs-offers-prod и ensi-gs-catalog-cache-prod. В выборке 153 CC / 153 SKU.</x:v>
      </x:c>
      <x:c r="B13" s="37"/>
      <x:c r="C13" s="37"/>
      <x:c r="D13" s="37"/>
      <x:c r="E13" s="37"/>
      <x:c r="F13" s="38"/>
    </x:row>
    <x:row r="14">
      <x:c r="A14" s="47"/>
      <x:c r="B14" s="48"/>
      <x:c r="C14" s="48"/>
      <x:c r="D14" s="48"/>
      <x:c r="E14" s="48"/>
      <x:c r="F14" s="49"/>
    </x:row>
    <x:row r="15">
      <x:c r="A15" s="39"/>
      <x:c r="B15" s="40"/>
      <x:c r="C15" s="40"/>
      <x:c r="D15" s="40"/>
      <x:c r="E15" s="40"/>
      <x:c r="F15" s="41"/>
    </x:row>
    <x:row r="16">
      <x:c r="A16" s="64" t="str">
        <x:v>Состояние офферов</x:v>
      </x:c>
      <x:c r="B16" s="64"/>
      <x:c r="C16" s="64"/>
      <x:c r="D16" s="64"/>
      <x:c r="E16" s="64"/>
      <x:c r="F16" s="64"/>
    </x:row>
    <x:row r="17">
      <x:c r="A17" s="73" t="str">
        <x:v>Состояние</x:v>
      </x:c>
      <x:c r="B17" s="74" t="str">
        <x:v>CC</x:v>
      </x:c>
      <x:c r="D17" s="73" t="str">
        <x:v>Контроль</x:v>
      </x:c>
      <x:c r="E17" s="74" t="str">
        <x:v>Значение</x:v>
      </x:c>
    </x:row>
    <x:row r="18">
      <x:c r="A18" s="75" t="str">
        <x:v>Цена + остаток</x:v>
      </x:c>
      <x:c r="B18" s="79" t="n">
        <x:f>COUNTIF('Офферы'!$F$4:$F$156,"Цена + остаток")</x:f>
        <x:v>27</x:v>
      </x:c>
      <x:c r="D18" s="75" t="str">
        <x:v>Статус CHECK</x:v>
      </x:c>
      <x:c r="E18" s="79" t="n">
        <x:f>COUNTIF('Офферы'!$E$4:$E$156,"CHECK")</x:f>
        <x:v>153</x:v>
      </x:c>
    </x:row>
    <x:row r="19">
      <x:c r="A19" s="75" t="str">
        <x:v>Цена, без остатка</x:v>
      </x:c>
      <x:c r="B19" s="79" t="n">
        <x:f>COUNTIF('Офферы'!$F$4:$F$156,"Цена, без остатка")</x:f>
        <x:v>47</x:v>
      </x:c>
      <x:c r="D19" s="75" t="str">
        <x:v>Цена есть, %</x:v>
      </x:c>
      <x:c r="E19" s="81" t="n">
        <x:f>(B18+B19)/B4</x:f>
        <x:v>0.48366013071895425</x:v>
      </x:c>
    </x:row>
    <x:row r="20">
      <x:c r="A20" s="75" t="str">
        <x:v>Нет цены и остатка</x:v>
      </x:c>
      <x:c r="B20" s="79" t="n">
        <x:f>COUNTIF('Офферы'!$F$4:$F$156,"Нет цены и остатка")</x:f>
        <x:v>79</x:v>
      </x:c>
      <x:c r="D20" s="75" t="str">
        <x:v>Остаток есть, %</x:v>
      </x:c>
      <x:c r="E20" s="81" t="n">
        <x:f>B18/B4</x:f>
        <x:v>0.17647058823529413</x:v>
      </x:c>
    </x:row>
    <x:row r="21">
      <x:c r="A21" s="77" t="str">
        <x:v>Нет offer</x:v>
      </x:c>
      <x:c r="B21" s="80" t="n">
        <x:f>COUNTIF('Офферы'!$F$4:$F$156,"Нет offer")</x:f>
        <x:v>0</x:v>
      </x:c>
      <x:c r="D21" s="77" t="str">
        <x:v>Доступных регионов</x:v>
      </x:c>
      <x:c r="E21" s="80" t="n">
        <x:f>SUM('Офферы'!$O$4:$O$156)</x:f>
        <x:v>1141</x:v>
      </x:c>
    </x:row>
    <x:row r="23">
      <x:c r="A23" s="64" t="str">
        <x:v>Как читать данные</x:v>
      </x:c>
      <x:c r="B23" s="64"/>
      <x:c r="C23" s="64"/>
      <x:c r="D23" s="64"/>
      <x:c r="E23" s="64"/>
      <x:c r="F23" s="64"/>
    </x:row>
    <x:row r="24" ht="30" customHeight="1">
      <x:c r="A24" s="95" t="str">
        <x:v>Строка offer создаётся для SKU × регион даже без цены и остатка. Поэтому наличие offer не означает готовность товара к продаже.</x:v>
      </x:c>
      <x:c r="B24" s="96"/>
      <x:c r="C24" s="96"/>
      <x:c r="D24" s="96"/>
      <x:c r="E24" s="96"/>
      <x:c r="F24" s="97"/>
    </x:row>
    <x:row r="25" ht="45" customHeight="1">
      <x:c r="A25" s="98" t="str">
        <x:v>Мин./макс. цена рассчитана только по российским e-commerce кластерам 5104, 5105, 5106, 5108, 5109, 5111 и 5112. Цены других стран не сравниваются с рублями. «Доступных регионов» = цена &gt; 0 + остаток &gt; 0 + нет запрета/даты вывоза.</x:v>
      </x:c>
      <x:c r="B25" s="99"/>
      <x:c r="C25" s="99"/>
      <x:c r="D25" s="99"/>
      <x:c r="E25" s="99"/>
      <x:c r="F25" s="100"/>
    </x:row>
  </x:sheetData>
  <x:mergeCells>
    <x:mergeCell ref="A1:F1"/>
    <x:mergeCell ref="A8:F8"/>
    <x:mergeCell ref="A9:F10"/>
    <x:mergeCell ref="A12:F12"/>
    <x:mergeCell ref="A13:F15"/>
    <x:mergeCell ref="A16:F16"/>
    <x:mergeCell ref="A23:F23"/>
    <x:mergeCell ref="A24:F24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6" hidden="0" customWidth="1"/>
    <x:col min="4" max="4" width="20" hidden="0" customWidth="1"/>
    <x:col min="5" max="5" width="18" hidden="0" customWidth="1"/>
    <x:col min="6" max="6" width="22" hidden="0" customWidth="1"/>
    <x:col min="7" max="7" width="20" hidden="0" customWidth="1"/>
    <x:col min="8" max="8" width="16" hidden="0" customWidth="1"/>
    <x:col min="9" max="9" width="12" hidden="0" customWidth="1"/>
  </x:cols>
  <x:sheetData>
    <x:row r="1" ht="30" customHeight="1">
      <x:c r="A1" s="53" t="str">
        <x:v>Список Beauty артикулов CC и признак маркировки</x:v>
      </x:c>
      <x:c r="B1" s="53"/>
      <x:c r="C1" s="53"/>
      <x:c r="D1" s="53"/>
      <x:c r="E1" s="53"/>
      <x:c r="F1" s="53"/>
      <x:c r="G1" s="53"/>
      <x:c r="H1" s="53"/>
      <x:c r="I1" s="53"/>
    </x:row>
    <x:row r="2">
      <x:c r="A2" s="54" t="str">
        <x:v>Production-срез 2026-08-19 13:34 МСК · Маркируемый: mark_type &gt; 0 · Источники: WebAPI Connector + PIM</x:v>
      </x:c>
      <x:c r="B2" s="54"/>
      <x:c r="C2" s="54"/>
      <x:c r="D2" s="54"/>
      <x:c r="E2" s="54"/>
      <x:c r="F2" s="54"/>
      <x:c r="G2" s="54"/>
      <x:c r="H2" s="54"/>
      <x:c r="I2" s="54"/>
    </x:row>
    <x:row r="3" ht="30" customHeight="1">
      <x:c r="A3" s="56" t="str">
        <x:v>Артикул CC</x:v>
      </x:c>
      <x:c r="B3" s="56" t="str">
        <x:v>Наименование</x:v>
      </x:c>
      <x:c r="C3" s="56" t="str">
        <x:v>Модель</x:v>
      </x:c>
      <x:c r="D3" s="56" t="str">
        <x:v>Артикул SKU</x:v>
      </x:c>
      <x:c r="E3" s="56" t="str">
        <x:v>Целевая группа</x:v>
      </x:c>
      <x:c r="F3" s="56" t="str">
        <x:v>Департамент</x:v>
      </x:c>
      <x:c r="G3" s="56" t="str">
        <x:v>Категория</x:v>
      </x:c>
      <x:c r="H3" s="56" t="str">
        <x:v>Маркируемый</x:v>
      </x:c>
      <x:c r="I3" s="56" t="str">
        <x:v>mark_type</x:v>
      </x:c>
    </x:row>
    <x:row r="4">
      <x:c r="A4" s="58" t="str">
        <x:v>GBU000001-1</x:v>
      </x:c>
      <x:c r="B4" s="62" t="str">
        <x:v>Лайнер для губ GBU000001 малиновый</x:v>
      </x:c>
      <x:c r="C4" s="58" t="str">
        <x:v>GBU000001</x:v>
      </x:c>
      <x:c r="D4" s="58" t="str">
        <x:v>GBU000001F0001</x:v>
      </x:c>
      <x:c r="E4" s="57" t="str">
        <x:v>Girls 13+</x:v>
      </x:c>
      <x:c r="F4" s="57" t="str">
        <x:v>Color Cosmetics</x:v>
      </x:c>
      <x:c r="G4" s="57" t="str">
        <x:v>Lips</x:v>
      </x:c>
      <x:c r="H4" s="60" t="str">
        <x:f>IF(I4&gt;0,"Да","Нет")</x:f>
        <x:v>Да</x:v>
      </x:c>
      <x:c r="I4" s="61" t="n">
        <x:v>1</x:v>
      </x:c>
    </x:row>
    <x:row r="5">
      <x:c r="A5" s="58" t="str">
        <x:v>GBU000001-2</x:v>
      </x:c>
      <x:c r="B5" s="62" t="str">
        <x:v>Лайнер для губ GBU000001 ярко-розовый</x:v>
      </x:c>
      <x:c r="C5" s="58" t="str">
        <x:v>GBU000001</x:v>
      </x:c>
      <x:c r="D5" s="58" t="str">
        <x:v>GBU000001F0003</x:v>
      </x:c>
      <x:c r="E5" s="57" t="str">
        <x:v>Girls 13+</x:v>
      </x:c>
      <x:c r="F5" s="57" t="str">
        <x:v>Color Cosmetics</x:v>
      </x:c>
      <x:c r="G5" s="57" t="str">
        <x:v>Lips</x:v>
      </x:c>
      <x:c r="H5" s="60" t="str">
        <x:f>IF(I5&gt;0,"Да","Нет")</x:f>
        <x:v>Да</x:v>
      </x:c>
      <x:c r="I5" s="61" t="n">
        <x:v>1</x:v>
      </x:c>
    </x:row>
    <x:row r="6">
      <x:c r="A6" s="58" t="str">
        <x:v>GBU000001-3</x:v>
      </x:c>
      <x:c r="B6" s="62" t="str">
        <x:v>Лайнер для губ GBU000001 розовый/бежевый</x:v>
      </x:c>
      <x:c r="C6" s="58" t="str">
        <x:v>GBU000001</x:v>
      </x:c>
      <x:c r="D6" s="58" t="str">
        <x:v>GBU000001F0002</x:v>
      </x:c>
      <x:c r="E6" s="57" t="str">
        <x:v>Girls 13+</x:v>
      </x:c>
      <x:c r="F6" s="57" t="str">
        <x:v>Color Cosmetics</x:v>
      </x:c>
      <x:c r="G6" s="57" t="str">
        <x:v>Lips</x:v>
      </x:c>
      <x:c r="H6" s="60" t="str">
        <x:f>IF(I6&gt;0,"Да","Нет")</x:f>
        <x:v>Да</x:v>
      </x:c>
      <x:c r="I6" s="61" t="n">
        <x:v>1</x:v>
      </x:c>
    </x:row>
    <x:row r="7">
      <x:c r="A7" s="58" t="str">
        <x:v>GBU000002-1</x:v>
      </x:c>
      <x:c r="B7" s="62" t="str">
        <x:v>Бальзам для губ GBU000002 прозрачный</x:v>
      </x:c>
      <x:c r="C7" s="58" t="str">
        <x:v>GBU000002</x:v>
      </x:c>
      <x:c r="D7" s="58" t="str">
        <x:v>GBU000002F0002</x:v>
      </x:c>
      <x:c r="E7" s="57" t="str">
        <x:v>Girls 13+</x:v>
      </x:c>
      <x:c r="F7" s="57" t="str">
        <x:v>Color Cosmetics</x:v>
      </x:c>
      <x:c r="G7" s="57" t="str">
        <x:v>Lips</x:v>
      </x:c>
      <x:c r="H7" s="60" t="str">
        <x:f>IF(I7&gt;0,"Да","Нет")</x:f>
        <x:v>Да</x:v>
      </x:c>
      <x:c r="I7" s="61" t="n">
        <x:v>1</x:v>
      </x:c>
    </x:row>
    <x:row r="8">
      <x:c r="A8" s="58" t="str">
        <x:v>GBU000002-2</x:v>
      </x:c>
      <x:c r="B8" s="62" t="str">
        <x:v>Бальзам для губ GBU000002 светло-розовый</x:v>
      </x:c>
      <x:c r="C8" s="58" t="str">
        <x:v>GBU000002</x:v>
      </x:c>
      <x:c r="D8" s="58" t="str">
        <x:v>GBU000002F0004</x:v>
      </x:c>
      <x:c r="E8" s="57" t="str">
        <x:v>Girls 13+</x:v>
      </x:c>
      <x:c r="F8" s="57" t="str">
        <x:v>Color Cosmetics</x:v>
      </x:c>
      <x:c r="G8" s="57" t="str">
        <x:v>Lips</x:v>
      </x:c>
      <x:c r="H8" s="60" t="str">
        <x:f>IF(I8&gt;0,"Да","Нет")</x:f>
        <x:v>Да</x:v>
      </x:c>
      <x:c r="I8" s="61" t="n">
        <x:v>1</x:v>
      </x:c>
    </x:row>
    <x:row r="9">
      <x:c r="A9" s="58" t="str">
        <x:v>GBU000002-3</x:v>
      </x:c>
      <x:c r="B9" s="62" t="str">
        <x:v>Бальзам для губ GBU000002 розовый/бежевый</x:v>
      </x:c>
      <x:c r="C9" s="58" t="str">
        <x:v>GBU000002</x:v>
      </x:c>
      <x:c r="D9" s="58" t="str">
        <x:v>GBU000002F0003</x:v>
      </x:c>
      <x:c r="E9" s="57" t="str">
        <x:v>Girls 13+</x:v>
      </x:c>
      <x:c r="F9" s="57" t="str">
        <x:v>Color Cosmetics</x:v>
      </x:c>
      <x:c r="G9" s="57" t="str">
        <x:v>Lips</x:v>
      </x:c>
      <x:c r="H9" s="60" t="str">
        <x:f>IF(I9&gt;0,"Да","Нет")</x:f>
        <x:v>Да</x:v>
      </x:c>
      <x:c r="I9" s="61" t="n">
        <x:v>1</x:v>
      </x:c>
    </x:row>
    <x:row r="10">
      <x:c r="A10" s="58" t="str">
        <x:v>GBU000002-4</x:v>
      </x:c>
      <x:c r="B10" s="62" t="str">
        <x:v>Бальзам для губ GBU000002 малиновый</x:v>
      </x:c>
      <x:c r="C10" s="58" t="str">
        <x:v>GBU000002</x:v>
      </x:c>
      <x:c r="D10" s="58" t="str">
        <x:v>GBU000002F0001</x:v>
      </x:c>
      <x:c r="E10" s="57" t="str">
        <x:v>Girls 13+</x:v>
      </x:c>
      <x:c r="F10" s="57" t="str">
        <x:v>Color Cosmetics</x:v>
      </x:c>
      <x:c r="G10" s="57" t="str">
        <x:v>Lips</x:v>
      </x:c>
      <x:c r="H10" s="60" t="str">
        <x:f>IF(I10&gt;0,"Да","Нет")</x:f>
        <x:v>Да</x:v>
      </x:c>
      <x:c r="I10" s="61" t="n">
        <x:v>1</x:v>
      </x:c>
    </x:row>
    <x:row r="11">
      <x:c r="A11" s="58" t="str">
        <x:v>GBU000003-1</x:v>
      </x:c>
      <x:c r="B11" s="62" t="str">
        <x:v>Тени для век GBU000003 коричневый</x:v>
      </x:c>
      <x:c r="C11" s="58" t="str">
        <x:v>GBU000003</x:v>
      </x:c>
      <x:c r="D11" s="58" t="str">
        <x:v>GBU000003F0002</x:v>
      </x:c>
      <x:c r="E11" s="57" t="str">
        <x:v>Girls 13+</x:v>
      </x:c>
      <x:c r="F11" s="57" t="str">
        <x:v>Color Cosmetics</x:v>
      </x:c>
      <x:c r="G11" s="57" t="str">
        <x:v>Eyes</x:v>
      </x:c>
      <x:c r="H11" s="60" t="str">
        <x:f>IF(I11&gt;0,"Да","Нет")</x:f>
        <x:v>Да</x:v>
      </x:c>
      <x:c r="I11" s="61" t="n">
        <x:v>1</x:v>
      </x:c>
    </x:row>
    <x:row r="12">
      <x:c r="A12" s="58" t="str">
        <x:v>GBU000003-2</x:v>
      </x:c>
      <x:c r="B12" s="62" t="str">
        <x:v>Тени для век GBU000003 светло-коричневый</x:v>
      </x:c>
      <x:c r="C12" s="58" t="str">
        <x:v>GBU000003</x:v>
      </x:c>
      <x:c r="D12" s="58" t="str">
        <x:v>GBU000003F0004</x:v>
      </x:c>
      <x:c r="E12" s="57" t="str">
        <x:v>Girls 13+</x:v>
      </x:c>
      <x:c r="F12" s="57" t="str">
        <x:v>Color Cosmetics</x:v>
      </x:c>
      <x:c r="G12" s="57" t="str">
        <x:v>Eyes</x:v>
      </x:c>
      <x:c r="H12" s="60" t="str">
        <x:f>IF(I12&gt;0,"Да","Нет")</x:f>
        <x:v>Да</x:v>
      </x:c>
      <x:c r="I12" s="61" t="n">
        <x:v>1</x:v>
      </x:c>
    </x:row>
    <x:row r="13">
      <x:c r="A13" s="58" t="str">
        <x:v>GBU000003-3</x:v>
      </x:c>
      <x:c r="B13" s="62" t="str">
        <x:v>Тени для век GBU000003 бежевый</x:v>
      </x:c>
      <x:c r="C13" s="58" t="str">
        <x:v>GBU000003</x:v>
      </x:c>
      <x:c r="D13" s="58" t="str">
        <x:v>GBU000003F0001</x:v>
      </x:c>
      <x:c r="E13" s="57" t="str">
        <x:v>Girls 13+</x:v>
      </x:c>
      <x:c r="F13" s="57" t="str">
        <x:v>Color Cosmetics</x:v>
      </x:c>
      <x:c r="G13" s="57" t="str">
        <x:v>Eyes</x:v>
      </x:c>
      <x:c r="H13" s="60" t="str">
        <x:f>IF(I13&gt;0,"Да","Нет")</x:f>
        <x:v>Да</x:v>
      </x:c>
      <x:c r="I13" s="61" t="n">
        <x:v>1</x:v>
      </x:c>
    </x:row>
    <x:row r="14">
      <x:c r="A14" s="58" t="str">
        <x:v>GBU000003-4</x:v>
      </x:c>
      <x:c r="B14" s="62" t="str">
        <x:v>Тени для век GBU000003 розовый</x:v>
      </x:c>
      <x:c r="C14" s="58" t="str">
        <x:v>GBU000003</x:v>
      </x:c>
      <x:c r="D14" s="58" t="str">
        <x:v>GBU000003F0003</x:v>
      </x:c>
      <x:c r="E14" s="57" t="str">
        <x:v>Girls 13+</x:v>
      </x:c>
      <x:c r="F14" s="57" t="str">
        <x:v>Color Cosmetics</x:v>
      </x:c>
      <x:c r="G14" s="57" t="str">
        <x:v>Eyes</x:v>
      </x:c>
      <x:c r="H14" s="60" t="str">
        <x:f>IF(I14&gt;0,"Да","Нет")</x:f>
        <x:v>Да</x:v>
      </x:c>
      <x:c r="I14" s="61" t="n">
        <x:v>1</x:v>
      </x:c>
    </x:row>
    <x:row r="15">
      <x:c r="A15" s="58" t="str">
        <x:v>GBU000004-1</x:v>
      </x:c>
      <x:c r="B15" s="62" t="str">
        <x:v>Сумочка для косметики GBU000004 разноцветный</x:v>
      </x:c>
      <x:c r="C15" s="58" t="str">
        <x:v>GBU000004</x:v>
      </x:c>
      <x:c r="D15" s="58" t="str">
        <x:v>GBU000004F0001</x:v>
      </x:c>
      <x:c r="E15" s="57" t="str">
        <x:v>Girls 13+</x:v>
      </x:c>
      <x:c r="F15" s="57" t="str">
        <x:v>Accessories Beauty</x:v>
      </x:c>
      <x:c r="G15" s="57" t="str">
        <x:v>Color cosmetic</x:v>
      </x:c>
      <x:c r="H15" s="60" t="str">
        <x:f>IF(I15&gt;0,"Да","Нет")</x:f>
        <x:v>Нет</x:v>
      </x:c>
      <x:c r="I15" s="61" t="n">
        <x:v>0</x:v>
      </x:c>
    </x:row>
    <x:row r="16">
      <x:c r="A16" s="58" t="str">
        <x:v>GBU000005-1</x:v>
      </x:c>
      <x:c r="B16" s="62" t="str">
        <x:v>Масло для губ GBU000005 темно-малиновый</x:v>
      </x:c>
      <x:c r="C16" s="58" t="str">
        <x:v>GBU000005</x:v>
      </x:c>
      <x:c r="D16" s="58" t="str">
        <x:v>GBU000005F0004</x:v>
      </x:c>
      <x:c r="E16" s="57" t="str">
        <x:v>Girls 13+</x:v>
      </x:c>
      <x:c r="F16" s="57" t="str">
        <x:v>Color Cosmetics</x:v>
      </x:c>
      <x:c r="G16" s="57" t="str">
        <x:v>Lips</x:v>
      </x:c>
      <x:c r="H16" s="60" t="str">
        <x:f>IF(I16&gt;0,"Да","Нет")</x:f>
        <x:v>Да</x:v>
      </x:c>
      <x:c r="I16" s="61" t="n">
        <x:v>1</x:v>
      </x:c>
    </x:row>
    <x:row r="17">
      <x:c r="A17" s="58" t="str">
        <x:v>GBU000005-2</x:v>
      </x:c>
      <x:c r="B17" s="62" t="str">
        <x:v>Масло для губ GBU000005 малиновый</x:v>
      </x:c>
      <x:c r="C17" s="58" t="str">
        <x:v>GBU000005</x:v>
      </x:c>
      <x:c r="D17" s="58" t="str">
        <x:v>GBU000005F0001</x:v>
      </x:c>
      <x:c r="E17" s="57" t="str">
        <x:v>Girls 13+</x:v>
      </x:c>
      <x:c r="F17" s="57" t="str">
        <x:v>Color Cosmetics</x:v>
      </x:c>
      <x:c r="G17" s="57" t="str">
        <x:v>Lips</x:v>
      </x:c>
      <x:c r="H17" s="60" t="str">
        <x:f>IF(I17&gt;0,"Да","Нет")</x:f>
        <x:v>Да</x:v>
      </x:c>
      <x:c r="I17" s="61" t="n">
        <x:v>1</x:v>
      </x:c>
    </x:row>
    <x:row r="18">
      <x:c r="A18" s="58" t="str">
        <x:v>GBU000005-3</x:v>
      </x:c>
      <x:c r="B18" s="62" t="str">
        <x:v>Масло для губ GBU000005 светло-розовый</x:v>
      </x:c>
      <x:c r="C18" s="58" t="str">
        <x:v>GBU000005</x:v>
      </x:c>
      <x:c r="D18" s="58" t="str">
        <x:v>GBU000005F0003</x:v>
      </x:c>
      <x:c r="E18" s="57" t="str">
        <x:v>Girls 13+</x:v>
      </x:c>
      <x:c r="F18" s="57" t="str">
        <x:v>Color Cosmetics</x:v>
      </x:c>
      <x:c r="G18" s="57" t="str">
        <x:v>Lips</x:v>
      </x:c>
      <x:c r="H18" s="60" t="str">
        <x:f>IF(I18&gt;0,"Да","Нет")</x:f>
        <x:v>Да</x:v>
      </x:c>
      <x:c r="I18" s="61" t="n">
        <x:v>1</x:v>
      </x:c>
    </x:row>
    <x:row r="19">
      <x:c r="A19" s="58" t="str">
        <x:v>GBU000005-4</x:v>
      </x:c>
      <x:c r="B19" s="62" t="str">
        <x:v>Масло для губ GBU000005 прозрачный</x:v>
      </x:c>
      <x:c r="C19" s="58" t="str">
        <x:v>GBU000005</x:v>
      </x:c>
      <x:c r="D19" s="58" t="str">
        <x:v>GBU000005F0002</x:v>
      </x:c>
      <x:c r="E19" s="57" t="str">
        <x:v>Girls 13+</x:v>
      </x:c>
      <x:c r="F19" s="57" t="str">
        <x:v>Color Cosmetics</x:v>
      </x:c>
      <x:c r="G19" s="57" t="str">
        <x:v>Lips</x:v>
      </x:c>
      <x:c r="H19" s="60" t="str">
        <x:f>IF(I19&gt;0,"Да","Нет")</x:f>
        <x:v>Да</x:v>
      </x:c>
      <x:c r="I19" s="61" t="n">
        <x:v>1</x:v>
      </x:c>
    </x:row>
    <x:row r="20">
      <x:c r="A20" s="58" t="str">
        <x:v>GBU000006-1</x:v>
      </x:c>
      <x:c r="B20" s="62" t="str">
        <x:v>Набор кистей для макияжа GBU000006 белый</x:v>
      </x:c>
      <x:c r="C20" s="58" t="str">
        <x:v>GBU000006</x:v>
      </x:c>
      <x:c r="D20" s="58" t="str">
        <x:v>GBU000006F0001</x:v>
      </x:c>
      <x:c r="E20" s="57" t="str">
        <x:v>Girls 13+</x:v>
      </x:c>
      <x:c r="F20" s="57" t="str">
        <x:v>Accessories Beauty</x:v>
      </x:c>
      <x:c r="G20" s="57" t="str">
        <x:v>Color cosmetic</x:v>
      </x:c>
      <x:c r="H20" s="60" t="str">
        <x:f>IF(I20&gt;0,"Да","Нет")</x:f>
        <x:v>Нет</x:v>
      </x:c>
      <x:c r="I20" s="61" t="n">
        <x:v>0</x:v>
      </x:c>
    </x:row>
    <x:row r="21">
      <x:c r="A21" s="58" t="str">
        <x:v>GBU000007-1</x:v>
      </x:c>
      <x:c r="B21" s="62" t="str">
        <x:v>Тушь для ресниц GBU000007 черный</x:v>
      </x:c>
      <x:c r="C21" s="58" t="str">
        <x:v>GBU000007</x:v>
      </x:c>
      <x:c r="D21" s="58" t="str">
        <x:v>GBU000007F0005</x:v>
      </x:c>
      <x:c r="E21" s="57" t="str">
        <x:v>Girls 13+</x:v>
      </x:c>
      <x:c r="F21" s="57" t="str">
        <x:v>Color Cosmetics</x:v>
      </x:c>
      <x:c r="G21" s="57" t="str">
        <x:v>Eyes</x:v>
      </x:c>
      <x:c r="H21" s="60" t="str">
        <x:f>IF(I21&gt;0,"Да","Нет")</x:f>
        <x:v>Да</x:v>
      </x:c>
      <x:c r="I21" s="61" t="n">
        <x:v>1</x:v>
      </x:c>
    </x:row>
    <x:row r="22">
      <x:c r="A22" s="58" t="str">
        <x:v>GBU000007-2</x:v>
      </x:c>
      <x:c r="B22" s="62" t="str">
        <x:v>Тушь для ресниц GBU000007 коричневый</x:v>
      </x:c>
      <x:c r="C22" s="58" t="str">
        <x:v>GBU000007</x:v>
      </x:c>
      <x:c r="D22" s="58" t="str">
        <x:v>GBU000007F0002</x:v>
      </x:c>
      <x:c r="E22" s="57" t="str">
        <x:v>Girls 13+</x:v>
      </x:c>
      <x:c r="F22" s="57" t="str">
        <x:v>Color Cosmetics</x:v>
      </x:c>
      <x:c r="G22" s="57" t="str">
        <x:v>Eyes</x:v>
      </x:c>
      <x:c r="H22" s="60" t="str">
        <x:f>IF(I22&gt;0,"Да","Нет")</x:f>
        <x:v>Да</x:v>
      </x:c>
      <x:c r="I22" s="61" t="n">
        <x:v>1</x:v>
      </x:c>
    </x:row>
    <x:row r="23">
      <x:c r="A23" s="58" t="str">
        <x:v>GBU000007-3</x:v>
      </x:c>
      <x:c r="B23" s="62" t="str">
        <x:v>Тушь для ресниц GBU000007 розовый</x:v>
      </x:c>
      <x:c r="C23" s="58" t="str">
        <x:v>GBU000007</x:v>
      </x:c>
      <x:c r="D23" s="58" t="str">
        <x:v>GBU000007F0003</x:v>
      </x:c>
      <x:c r="E23" s="57" t="str">
        <x:v>Girls 13+</x:v>
      </x:c>
      <x:c r="F23" s="57" t="str">
        <x:v>Color Cosmetics</x:v>
      </x:c>
      <x:c r="G23" s="57" t="str">
        <x:v>Eyes</x:v>
      </x:c>
      <x:c r="H23" s="60" t="str">
        <x:f>IF(I23&gt;0,"Да","Нет")</x:f>
        <x:v>Да</x:v>
      </x:c>
      <x:c r="I23" s="61" t="n">
        <x:v>1</x:v>
      </x:c>
    </x:row>
    <x:row r="24">
      <x:c r="A24" s="58" t="str">
        <x:v>GBU000007-4</x:v>
      </x:c>
      <x:c r="B24" s="62" t="str">
        <x:v>Тушь для ресниц GBU000007 синий</x:v>
      </x:c>
      <x:c r="C24" s="58" t="str">
        <x:v>GBU000007</x:v>
      </x:c>
      <x:c r="D24" s="58" t="str">
        <x:v>GBU000007F0004</x:v>
      </x:c>
      <x:c r="E24" s="57" t="str">
        <x:v>Girls 13+</x:v>
      </x:c>
      <x:c r="F24" s="57" t="str">
        <x:v>Color Cosmetics</x:v>
      </x:c>
      <x:c r="G24" s="57" t="str">
        <x:v>Eyes</x:v>
      </x:c>
      <x:c r="H24" s="60" t="str">
        <x:f>IF(I24&gt;0,"Да","Нет")</x:f>
        <x:v>Да</x:v>
      </x:c>
      <x:c r="I24" s="61" t="n">
        <x:v>1</x:v>
      </x:c>
    </x:row>
    <x:row r="25">
      <x:c r="A25" s="58" t="str">
        <x:v>GBU000007-5</x:v>
      </x:c>
      <x:c r="B25" s="62" t="str">
        <x:v>Тушь для ресниц GBU000007 зеленый</x:v>
      </x:c>
      <x:c r="C25" s="58" t="str">
        <x:v>GBU000007</x:v>
      </x:c>
      <x:c r="D25" s="58" t="str">
        <x:v>GBU000007F0001</x:v>
      </x:c>
      <x:c r="E25" s="57" t="str">
        <x:v>Girls 13+</x:v>
      </x:c>
      <x:c r="F25" s="57" t="str">
        <x:v>Color Cosmetics</x:v>
      </x:c>
      <x:c r="G25" s="57" t="str">
        <x:v>Eyes</x:v>
      </x:c>
      <x:c r="H25" s="60" t="str">
        <x:f>IF(I25&gt;0,"Да","Нет")</x:f>
        <x:v>Да</x:v>
      </x:c>
      <x:c r="I25" s="61" t="n">
        <x:v>1</x:v>
      </x:c>
    </x:row>
    <x:row r="26">
      <x:c r="A26" s="58" t="str">
        <x:v>GBU000008-1</x:v>
      </x:c>
      <x:c r="B26" s="62" t="str">
        <x:v>Блеск для губ GBU000008 розовый/бежевый</x:v>
      </x:c>
      <x:c r="C26" s="58" t="str">
        <x:v>GBU000008</x:v>
      </x:c>
      <x:c r="D26" s="58" t="str">
        <x:v>GBU000008F0003</x:v>
      </x:c>
      <x:c r="E26" s="57" t="str">
        <x:v>Girls 13+</x:v>
      </x:c>
      <x:c r="F26" s="57" t="str">
        <x:v>Color Cosmetics</x:v>
      </x:c>
      <x:c r="G26" s="57" t="str">
        <x:v>Lips</x:v>
      </x:c>
      <x:c r="H26" s="60" t="str">
        <x:f>IF(I26&gt;0,"Да","Нет")</x:f>
        <x:v>Да</x:v>
      </x:c>
      <x:c r="I26" s="61" t="n">
        <x:v>1</x:v>
      </x:c>
    </x:row>
    <x:row r="27">
      <x:c r="A27" s="58" t="str">
        <x:v>GBU000008-2</x:v>
      </x:c>
      <x:c r="B27" s="62" t="str">
        <x:v>Блеск для губ GBU000008 розовый</x:v>
      </x:c>
      <x:c r="C27" s="58" t="str">
        <x:v>GBU000008</x:v>
      </x:c>
      <x:c r="D27" s="58" t="str">
        <x:v>GBU000008F0002</x:v>
      </x:c>
      <x:c r="E27" s="57" t="str">
        <x:v>Girls 13+</x:v>
      </x:c>
      <x:c r="F27" s="57" t="str">
        <x:v>Color Cosmetics</x:v>
      </x:c>
      <x:c r="G27" s="57" t="str">
        <x:v>Lips</x:v>
      </x:c>
      <x:c r="H27" s="60" t="str">
        <x:f>IF(I27&gt;0,"Да","Нет")</x:f>
        <x:v>Да</x:v>
      </x:c>
      <x:c r="I27" s="61" t="n">
        <x:v>1</x:v>
      </x:c>
    </x:row>
    <x:row r="28">
      <x:c r="A28" s="58" t="str">
        <x:v>GBU000008-3</x:v>
      </x:c>
      <x:c r="B28" s="62" t="str">
        <x:v>Блеск для губ GBU000008 красный</x:v>
      </x:c>
      <x:c r="C28" s="58" t="str">
        <x:v>GBU000008</x:v>
      </x:c>
      <x:c r="D28" s="58" t="str">
        <x:v>GBU000008F0001</x:v>
      </x:c>
      <x:c r="E28" s="57" t="str">
        <x:v>Girls 13+</x:v>
      </x:c>
      <x:c r="F28" s="57" t="str">
        <x:v>Color Cosmetics</x:v>
      </x:c>
      <x:c r="G28" s="57" t="str">
        <x:v>Lips</x:v>
      </x:c>
      <x:c r="H28" s="60" t="str">
        <x:f>IF(I28&gt;0,"Да","Нет")</x:f>
        <x:v>Да</x:v>
      </x:c>
      <x:c r="I28" s="61" t="n">
        <x:v>1</x:v>
      </x:c>
    </x:row>
    <x:row r="29">
      <x:c r="A29" s="58" t="str">
        <x:v>GBU000009-1</x:v>
      </x:c>
      <x:c r="B29" s="62" t="str">
        <x:v>Тинт для губ GBU000009 малиновый</x:v>
      </x:c>
      <x:c r="C29" s="58" t="str">
        <x:v>GBU000009</x:v>
      </x:c>
      <x:c r="D29" s="58" t="str">
        <x:v>GBU000009F0002</x:v>
      </x:c>
      <x:c r="E29" s="57" t="str">
        <x:v>Girls 13+</x:v>
      </x:c>
      <x:c r="F29" s="57" t="str">
        <x:v>Color Cosmetics</x:v>
      </x:c>
      <x:c r="G29" s="57" t="str">
        <x:v>Lips</x:v>
      </x:c>
      <x:c r="H29" s="60" t="str">
        <x:f>IF(I29&gt;0,"Да","Нет")</x:f>
        <x:v>Да</x:v>
      </x:c>
      <x:c r="I29" s="61" t="n">
        <x:v>1</x:v>
      </x:c>
    </x:row>
    <x:row r="30">
      <x:c r="A30" s="58" t="str">
        <x:v>GBU000009-2</x:v>
      </x:c>
      <x:c r="B30" s="62" t="str">
        <x:v>Тинт для губ GBU000009 ярко-розовый</x:v>
      </x:c>
      <x:c r="C30" s="58" t="str">
        <x:v>GBU000009</x:v>
      </x:c>
      <x:c r="D30" s="58" t="str">
        <x:v>GBU000009F0004</x:v>
      </x:c>
      <x:c r="E30" s="57" t="str">
        <x:v>Girls 13+</x:v>
      </x:c>
      <x:c r="F30" s="57" t="str">
        <x:v>Color Cosmetics</x:v>
      </x:c>
      <x:c r="G30" s="57" t="str">
        <x:v>Lips</x:v>
      </x:c>
      <x:c r="H30" s="60" t="str">
        <x:f>IF(I30&gt;0,"Да","Нет")</x:f>
        <x:v>Да</x:v>
      </x:c>
      <x:c r="I30" s="61" t="n">
        <x:v>1</x:v>
      </x:c>
    </x:row>
    <x:row r="31">
      <x:c r="A31" s="58" t="str">
        <x:v>GBU000009-3</x:v>
      </x:c>
      <x:c r="B31" s="62" t="str">
        <x:v>Тинт для губ GBU000009 розовый/бежевый</x:v>
      </x:c>
      <x:c r="C31" s="58" t="str">
        <x:v>GBU000009</x:v>
      </x:c>
      <x:c r="D31" s="58" t="str">
        <x:v>GBU000009F0003</x:v>
      </x:c>
      <x:c r="E31" s="57" t="str">
        <x:v>Girls 13+</x:v>
      </x:c>
      <x:c r="F31" s="57" t="str">
        <x:v>Color Cosmetics</x:v>
      </x:c>
      <x:c r="G31" s="57" t="str">
        <x:v>Lips</x:v>
      </x:c>
      <x:c r="H31" s="60" t="str">
        <x:f>IF(I31&gt;0,"Да","Нет")</x:f>
        <x:v>Да</x:v>
      </x:c>
      <x:c r="I31" s="61" t="n">
        <x:v>1</x:v>
      </x:c>
    </x:row>
    <x:row r="32">
      <x:c r="A32" s="58" t="str">
        <x:v>GBU000009-4</x:v>
      </x:c>
      <x:c r="B32" s="62" t="str">
        <x:v>Тинт для губ GBU000009 красный</x:v>
      </x:c>
      <x:c r="C32" s="58" t="str">
        <x:v>GBU000009</x:v>
      </x:c>
      <x:c r="D32" s="58" t="str">
        <x:v>GBU000009F0001</x:v>
      </x:c>
      <x:c r="E32" s="57" t="str">
        <x:v>Girls 13+</x:v>
      </x:c>
      <x:c r="F32" s="57" t="str">
        <x:v>Color Cosmetics</x:v>
      </x:c>
      <x:c r="G32" s="57" t="str">
        <x:v>Lips</x:v>
      </x:c>
      <x:c r="H32" s="60" t="str">
        <x:f>IF(I32&gt;0,"Да","Нет")</x:f>
        <x:v>Да</x:v>
      </x:c>
      <x:c r="I32" s="61" t="n">
        <x:v>1</x:v>
      </x:c>
    </x:row>
    <x:row r="33">
      <x:c r="A33" s="58" t="str">
        <x:v>GBU000010-1</x:v>
      </x:c>
      <x:c r="B33" s="62" t="str">
        <x:v>Набор теней для век GBU000010 разноцветный/розовый</x:v>
      </x:c>
      <x:c r="C33" s="58" t="str">
        <x:v>GBU000010</x:v>
      </x:c>
      <x:c r="D33" s="58" t="str">
        <x:v>GBU000010F0002</x:v>
      </x:c>
      <x:c r="E33" s="57" t="str">
        <x:v>Girls 13+</x:v>
      </x:c>
      <x:c r="F33" s="57" t="str">
        <x:v>Color Cosmetics</x:v>
      </x:c>
      <x:c r="G33" s="57" t="str">
        <x:v>Eyes</x:v>
      </x:c>
      <x:c r="H33" s="60" t="str">
        <x:f>IF(I33&gt;0,"Да","Нет")</x:f>
        <x:v>Да</x:v>
      </x:c>
      <x:c r="I33" s="61" t="n">
        <x:v>1</x:v>
      </x:c>
    </x:row>
    <x:row r="34">
      <x:c r="A34" s="58" t="str">
        <x:v>GBU000010-2</x:v>
      </x:c>
      <x:c r="B34" s="62" t="str">
        <x:v>Набор теней для век GBU000010 разноцветный</x:v>
      </x:c>
      <x:c r="C34" s="58" t="str">
        <x:v>GBU000010</x:v>
      </x:c>
      <x:c r="D34" s="58" t="str">
        <x:v>GBU000010F0001</x:v>
      </x:c>
      <x:c r="E34" s="57" t="str">
        <x:v>Girls 13+</x:v>
      </x:c>
      <x:c r="F34" s="57" t="str">
        <x:v>Color Cosmetics</x:v>
      </x:c>
      <x:c r="G34" s="57" t="str">
        <x:v>Eyes</x:v>
      </x:c>
      <x:c r="H34" s="60" t="str">
        <x:f>IF(I34&gt;0,"Да","Нет")</x:f>
        <x:v>Да</x:v>
      </x:c>
      <x:c r="I34" s="61" t="n">
        <x:v>1</x:v>
      </x:c>
    </x:row>
    <x:row r="35">
      <x:c r="A35" s="58" t="str">
        <x:v>GBU000011-1</x:v>
      </x:c>
      <x:c r="B35" s="62" t="str">
        <x:v>Румяна GBU000011 красный</x:v>
      </x:c>
      <x:c r="C35" s="58" t="str">
        <x:v>GBU000011</x:v>
      </x:c>
      <x:c r="D35" s="58" t="str">
        <x:v>GBU000011F0001</x:v>
      </x:c>
      <x:c r="E35" s="57" t="str">
        <x:v>Girls 13+</x:v>
      </x:c>
      <x:c r="F35" s="57" t="str">
        <x:v>Color Cosmetics</x:v>
      </x:c>
      <x:c r="G35" s="57" t="str">
        <x:v>Face</x:v>
      </x:c>
      <x:c r="H35" s="60" t="str">
        <x:f>IF(I35&gt;0,"Да","Нет")</x:f>
        <x:v>Да</x:v>
      </x:c>
      <x:c r="I35" s="61" t="n">
        <x:v>1</x:v>
      </x:c>
    </x:row>
    <x:row r="36">
      <x:c r="A36" s="58" t="str">
        <x:v>GBU000011-2</x:v>
      </x:c>
      <x:c r="B36" s="62" t="str">
        <x:v>Румяна GBU000011 ярко-розовый</x:v>
      </x:c>
      <x:c r="C36" s="58" t="str">
        <x:v>GBU000011</x:v>
      </x:c>
      <x:c r="D36" s="58" t="str">
        <x:v>GBU000011F0003</x:v>
      </x:c>
      <x:c r="E36" s="57" t="str">
        <x:v>Girls 13+</x:v>
      </x:c>
      <x:c r="F36" s="57" t="str">
        <x:v>Color Cosmetics</x:v>
      </x:c>
      <x:c r="G36" s="57" t="str">
        <x:v>Face</x:v>
      </x:c>
      <x:c r="H36" s="60" t="str">
        <x:f>IF(I36&gt;0,"Да","Нет")</x:f>
        <x:v>Да</x:v>
      </x:c>
      <x:c r="I36" s="61" t="n">
        <x:v>1</x:v>
      </x:c>
    </x:row>
    <x:row r="37">
      <x:c r="A37" s="58" t="str">
        <x:v>GBU000011-3</x:v>
      </x:c>
      <x:c r="B37" s="62" t="str">
        <x:v>Румяна GBU000011 малиновый</x:v>
      </x:c>
      <x:c r="C37" s="58" t="str">
        <x:v>GBU000011</x:v>
      </x:c>
      <x:c r="D37" s="58" t="str">
        <x:v>GBU000011F0002</x:v>
      </x:c>
      <x:c r="E37" s="57" t="str">
        <x:v>Girls 13+</x:v>
      </x:c>
      <x:c r="F37" s="57" t="str">
        <x:v>Color Cosmetics</x:v>
      </x:c>
      <x:c r="G37" s="57" t="str">
        <x:v>Face</x:v>
      </x:c>
      <x:c r="H37" s="60" t="str">
        <x:f>IF(I37&gt;0,"Да","Нет")</x:f>
        <x:v>Да</x:v>
      </x:c>
      <x:c r="I37" s="61" t="n">
        <x:v>1</x:v>
      </x:c>
    </x:row>
    <x:row r="38">
      <x:c r="A38" s="58" t="str">
        <x:v>GBU000012-1</x:v>
      </x:c>
      <x:c r="B38" s="62" t="str">
        <x:v>Тени для век GBU000012 фиолетовый</x:v>
      </x:c>
      <x:c r="C38" s="58" t="str">
        <x:v>GBU000012</x:v>
      </x:c>
      <x:c r="D38" s="58" t="str">
        <x:v>GBU000012F0004</x:v>
      </x:c>
      <x:c r="E38" s="57" t="str">
        <x:v>Girls 13+</x:v>
      </x:c>
      <x:c r="F38" s="57" t="str">
        <x:v>Color Cosmetics</x:v>
      </x:c>
      <x:c r="G38" s="57" t="str">
        <x:v>Eyes</x:v>
      </x:c>
      <x:c r="H38" s="60" t="str">
        <x:f>IF(I38&gt;0,"Да","Нет")</x:f>
        <x:v>Да</x:v>
      </x:c>
      <x:c r="I38" s="61" t="n">
        <x:v>1</x:v>
      </x:c>
    </x:row>
    <x:row r="39">
      <x:c r="A39" s="58" t="str">
        <x:v>GBU000012-2</x:v>
      </x:c>
      <x:c r="B39" s="62" t="str">
        <x:v>Тени для век GBU000012 разноцветный/белый</x:v>
      </x:c>
      <x:c r="C39" s="58" t="str">
        <x:v>GBU000012</x:v>
      </x:c>
      <x:c r="D39" s="58" t="str">
        <x:v>GBU000012F0002</x:v>
      </x:c>
      <x:c r="E39" s="57" t="str">
        <x:v>Girls 13+</x:v>
      </x:c>
      <x:c r="F39" s="57" t="str">
        <x:v>Color Cosmetics</x:v>
      </x:c>
      <x:c r="G39" s="57" t="str">
        <x:v>Eyes</x:v>
      </x:c>
      <x:c r="H39" s="60" t="str">
        <x:f>IF(I39&gt;0,"Да","Нет")</x:f>
        <x:v>Да</x:v>
      </x:c>
      <x:c r="I39" s="61" t="n">
        <x:v>1</x:v>
      </x:c>
    </x:row>
    <x:row r="40">
      <x:c r="A40" s="58" t="str">
        <x:v>GBU000012-3</x:v>
      </x:c>
      <x:c r="B40" s="62" t="str">
        <x:v>Тени для век GBU000012 светло-розовый</x:v>
      </x:c>
      <x:c r="C40" s="58" t="str">
        <x:v>GBU000012</x:v>
      </x:c>
      <x:c r="D40" s="58" t="str">
        <x:v>GBU000012F0003</x:v>
      </x:c>
      <x:c r="E40" s="57" t="str">
        <x:v>Girls 13+</x:v>
      </x:c>
      <x:c r="F40" s="57" t="str">
        <x:v>Color Cosmetics</x:v>
      </x:c>
      <x:c r="G40" s="57" t="str">
        <x:v>Eyes</x:v>
      </x:c>
      <x:c r="H40" s="60" t="str">
        <x:f>IF(I40&gt;0,"Да","Нет")</x:f>
        <x:v>Да</x:v>
      </x:c>
      <x:c r="I40" s="61" t="n">
        <x:v>1</x:v>
      </x:c>
    </x:row>
    <x:row r="41">
      <x:c r="A41" s="58" t="str">
        <x:v>GBU000012-4</x:v>
      </x:c>
      <x:c r="B41" s="62" t="str">
        <x:v>Тени для век GBU000012 золотистый</x:v>
      </x:c>
      <x:c r="C41" s="58" t="str">
        <x:v>GBU000012</x:v>
      </x:c>
      <x:c r="D41" s="58" t="str">
        <x:v>GBU000012F0001</x:v>
      </x:c>
      <x:c r="E41" s="57" t="str">
        <x:v>Girls 13+</x:v>
      </x:c>
      <x:c r="F41" s="57" t="str">
        <x:v>Color Cosmetics</x:v>
      </x:c>
      <x:c r="G41" s="57" t="str">
        <x:v>Eyes</x:v>
      </x:c>
      <x:c r="H41" s="60" t="str">
        <x:f>IF(I41&gt;0,"Да","Нет")</x:f>
        <x:v>Да</x:v>
      </x:c>
      <x:c r="I41" s="61" t="n">
        <x:v>1</x:v>
      </x:c>
    </x:row>
    <x:row r="42">
      <x:c r="A42" s="58" t="str">
        <x:v>GBU000013-1</x:v>
      </x:c>
      <x:c r="B42" s="62" t="str">
        <x:v>Хайлайтер GBU000013 золотистый</x:v>
      </x:c>
      <x:c r="C42" s="58" t="str">
        <x:v>GBU000013</x:v>
      </x:c>
      <x:c r="D42" s="58" t="str">
        <x:v>GBU000013F0001</x:v>
      </x:c>
      <x:c r="E42" s="57" t="str">
        <x:v>Girls 13+</x:v>
      </x:c>
      <x:c r="F42" s="57" t="str">
        <x:v>Color Cosmetics</x:v>
      </x:c>
      <x:c r="G42" s="57" t="str">
        <x:v>Face</x:v>
      </x:c>
      <x:c r="H42" s="60" t="str">
        <x:f>IF(I42&gt;0,"Да","Нет")</x:f>
        <x:v>Да</x:v>
      </x:c>
      <x:c r="I42" s="61" t="n">
        <x:v>1</x:v>
      </x:c>
    </x:row>
    <x:row r="43">
      <x:c r="A43" s="58" t="str">
        <x:v>GBU000013-2</x:v>
      </x:c>
      <x:c r="B43" s="62" t="str">
        <x:v>Хайлайтер GBU000013 светло-розовый</x:v>
      </x:c>
      <x:c r="C43" s="58" t="str">
        <x:v>GBU000013</x:v>
      </x:c>
      <x:c r="D43" s="58" t="str">
        <x:v>GBU000013F0002</x:v>
      </x:c>
      <x:c r="E43" s="57" t="str">
        <x:v>Girls 13+</x:v>
      </x:c>
      <x:c r="F43" s="57" t="str">
        <x:v>Color Cosmetics</x:v>
      </x:c>
      <x:c r="G43" s="57" t="str">
        <x:v>Face</x:v>
      </x:c>
      <x:c r="H43" s="60" t="str">
        <x:f>IF(I43&gt;0,"Да","Нет")</x:f>
        <x:v>Да</x:v>
      </x:c>
      <x:c r="I43" s="61" t="n">
        <x:v>1</x:v>
      </x:c>
    </x:row>
    <x:row r="44">
      <x:c r="A44" s="58" t="str">
        <x:v>GBU000014-1</x:v>
      </x:c>
      <x:c r="B44" s="62" t="str">
        <x:v>Гель для бровей GBU000014 прозрачный</x:v>
      </x:c>
      <x:c r="C44" s="58" t="str">
        <x:v>GBU000014</x:v>
      </x:c>
      <x:c r="D44" s="58" t="str">
        <x:v>GBU000014F0002</x:v>
      </x:c>
      <x:c r="E44" s="57" t="str">
        <x:v>Girls 13+</x:v>
      </x:c>
      <x:c r="F44" s="57" t="str">
        <x:v>Color Cosmetics</x:v>
      </x:c>
      <x:c r="G44" s="57" t="str">
        <x:v>Eyes</x:v>
      </x:c>
      <x:c r="H44" s="60" t="str">
        <x:f>IF(I44&gt;0,"Да","Нет")</x:f>
        <x:v>Нет</x:v>
      </x:c>
      <x:c r="I44" s="61" t="n">
        <x:v>0</x:v>
      </x:c>
    </x:row>
    <x:row r="45">
      <x:c r="A45" s="58" t="str">
        <x:v>GBU000014-2</x:v>
      </x:c>
      <x:c r="B45" s="62" t="str">
        <x:v>Гель для бровей GBU000014 коричневый</x:v>
      </x:c>
      <x:c r="C45" s="58" t="str">
        <x:v>GBU000014</x:v>
      </x:c>
      <x:c r="D45" s="58" t="str">
        <x:v>GBU000014F0001</x:v>
      </x:c>
      <x:c r="E45" s="57" t="str">
        <x:v>Girls 13+</x:v>
      </x:c>
      <x:c r="F45" s="57" t="str">
        <x:v>Color Cosmetics</x:v>
      </x:c>
      <x:c r="G45" s="57" t="str">
        <x:v>Eyes</x:v>
      </x:c>
      <x:c r="H45" s="60" t="str">
        <x:f>IF(I45&gt;0,"Да","Нет")</x:f>
        <x:v>Нет</x:v>
      </x:c>
      <x:c r="I45" s="61" t="n">
        <x:v>0</x:v>
      </x:c>
    </x:row>
    <x:row r="46">
      <x:c r="A46" s="58" t="str">
        <x:v>GBU000014-3</x:v>
      </x:c>
      <x:c r="B46" s="62" t="str">
        <x:v>Гель для бровей GBU000014 темно-бежевый</x:v>
      </x:c>
      <x:c r="C46" s="58" t="str">
        <x:v>GBU000014</x:v>
      </x:c>
      <x:c r="D46" s="58" t="str">
        <x:v>GBU000014F0003</x:v>
      </x:c>
      <x:c r="E46" s="57" t="str">
        <x:v>Girls 13+</x:v>
      </x:c>
      <x:c r="F46" s="57" t="str">
        <x:v>Color Cosmetics</x:v>
      </x:c>
      <x:c r="G46" s="57" t="str">
        <x:v>Eyes</x:v>
      </x:c>
      <x:c r="H46" s="60" t="str">
        <x:f>IF(I46&gt;0,"Да","Нет")</x:f>
        <x:v>Нет</x:v>
      </x:c>
      <x:c r="I46" s="61" t="n">
        <x:v>0</x:v>
      </x:c>
    </x:row>
    <x:row r="47">
      <x:c r="A47" s="58" t="str">
        <x:v>GBU000016-1</x:v>
      </x:c>
      <x:c r="B47" s="62" t="str">
        <x:v>Лайнер для глаз GBU000016 черный</x:v>
      </x:c>
      <x:c r="C47" s="58" t="str">
        <x:v>GBU000016</x:v>
      </x:c>
      <x:c r="D47" s="58" t="str">
        <x:v>GBU000016F0005</x:v>
      </x:c>
      <x:c r="E47" s="57" t="str">
        <x:v>Girls 13+</x:v>
      </x:c>
      <x:c r="F47" s="57" t="str">
        <x:v>Color Cosmetics</x:v>
      </x:c>
      <x:c r="G47" s="57" t="str">
        <x:v>Eyes</x:v>
      </x:c>
      <x:c r="H47" s="60" t="str">
        <x:f>IF(I47&gt;0,"Да","Нет")</x:f>
        <x:v>Да</x:v>
      </x:c>
      <x:c r="I47" s="61" t="n">
        <x:v>1</x:v>
      </x:c>
    </x:row>
    <x:row r="48">
      <x:c r="A48" s="58" t="str">
        <x:v>GBU000016-2</x:v>
      </x:c>
      <x:c r="B48" s="62" t="str">
        <x:v>Лайнер для глаз GBU000016 коричневый</x:v>
      </x:c>
      <x:c r="C48" s="58" t="str">
        <x:v>GBU000016</x:v>
      </x:c>
      <x:c r="D48" s="58" t="str">
        <x:v>GBU000016F0002</x:v>
      </x:c>
      <x:c r="E48" s="57" t="str">
        <x:v>Girls 13+</x:v>
      </x:c>
      <x:c r="F48" s="57" t="str">
        <x:v>Color Cosmetics</x:v>
      </x:c>
      <x:c r="G48" s="57" t="str">
        <x:v>Eyes</x:v>
      </x:c>
      <x:c r="H48" s="60" t="str">
        <x:f>IF(I48&gt;0,"Да","Нет")</x:f>
        <x:v>Да</x:v>
      </x:c>
      <x:c r="I48" s="61" t="n">
        <x:v>1</x:v>
      </x:c>
    </x:row>
    <x:row r="49">
      <x:c r="A49" s="58" t="str">
        <x:v>GBU000016-3</x:v>
      </x:c>
      <x:c r="B49" s="62" t="str">
        <x:v>Лайнер для глаз GBU000016 розовый</x:v>
      </x:c>
      <x:c r="C49" s="58" t="str">
        <x:v>GBU000016</x:v>
      </x:c>
      <x:c r="D49" s="58" t="str">
        <x:v>GBU000016F0003</x:v>
      </x:c>
      <x:c r="E49" s="57" t="str">
        <x:v>Girls 13+</x:v>
      </x:c>
      <x:c r="F49" s="57" t="str">
        <x:v>Color Cosmetics</x:v>
      </x:c>
      <x:c r="G49" s="57" t="str">
        <x:v>Eyes</x:v>
      </x:c>
      <x:c r="H49" s="60" t="str">
        <x:f>IF(I49&gt;0,"Да","Нет")</x:f>
        <x:v>Да</x:v>
      </x:c>
      <x:c r="I49" s="61" t="n">
        <x:v>1</x:v>
      </x:c>
    </x:row>
    <x:row r="50">
      <x:c r="A50" s="58" t="str">
        <x:v>GBU000016-4</x:v>
      </x:c>
      <x:c r="B50" s="62" t="str">
        <x:v>Лайнер для глаз GBU000016 синий</x:v>
      </x:c>
      <x:c r="C50" s="58" t="str">
        <x:v>GBU000016</x:v>
      </x:c>
      <x:c r="D50" s="58" t="str">
        <x:v>GBU000016F0004</x:v>
      </x:c>
      <x:c r="E50" s="57" t="str">
        <x:v>Girls 13+</x:v>
      </x:c>
      <x:c r="F50" s="57" t="str">
        <x:v>Color Cosmetics</x:v>
      </x:c>
      <x:c r="G50" s="57" t="str">
        <x:v>Eyes</x:v>
      </x:c>
      <x:c r="H50" s="60" t="str">
        <x:f>IF(I50&gt;0,"Да","Нет")</x:f>
        <x:v>Да</x:v>
      </x:c>
      <x:c r="I50" s="61" t="n">
        <x:v>1</x:v>
      </x:c>
    </x:row>
    <x:row r="51">
      <x:c r="A51" s="58" t="str">
        <x:v>GBU000016-5</x:v>
      </x:c>
      <x:c r="B51" s="62" t="str">
        <x:v>Лайнер для глаз GBU000016 зеленый</x:v>
      </x:c>
      <x:c r="C51" s="58" t="str">
        <x:v>GBU000016</x:v>
      </x:c>
      <x:c r="D51" s="58" t="str">
        <x:v>GBU000016F0001</x:v>
      </x:c>
      <x:c r="E51" s="57" t="str">
        <x:v>Girls 13+</x:v>
      </x:c>
      <x:c r="F51" s="57" t="str">
        <x:v>Color Cosmetics</x:v>
      </x:c>
      <x:c r="G51" s="57" t="str">
        <x:v>Eyes</x:v>
      </x:c>
      <x:c r="H51" s="60" t="str">
        <x:f>IF(I51&gt;0,"Да","Нет")</x:f>
        <x:v>Да</x:v>
      </x:c>
      <x:c r="I51" s="61" t="n">
        <x:v>1</x:v>
      </x:c>
    </x:row>
    <x:row r="52">
      <x:c r="A52" s="58" t="str">
        <x:v>GBU000017-1</x:v>
      </x:c>
      <x:c r="B52" s="62" t="str">
        <x:v>Румяна GBU000017 малиновый</x:v>
      </x:c>
      <x:c r="C52" s="58" t="str">
        <x:v>GBU000017</x:v>
      </x:c>
      <x:c r="D52" s="58" t="str">
        <x:v>GBU000017F0001</x:v>
      </x:c>
      <x:c r="E52" s="57" t="str">
        <x:v>Girls 13+</x:v>
      </x:c>
      <x:c r="F52" s="57" t="str">
        <x:v>Color Cosmetics</x:v>
      </x:c>
      <x:c r="G52" s="57" t="str">
        <x:v>Face</x:v>
      </x:c>
      <x:c r="H52" s="60" t="str">
        <x:f>IF(I52&gt;0,"Да","Нет")</x:f>
        <x:v>Да</x:v>
      </x:c>
      <x:c r="I52" s="61" t="n">
        <x:v>1</x:v>
      </x:c>
    </x:row>
    <x:row r="53">
      <x:c r="A53" s="58" t="str">
        <x:v>GBU000017-2</x:v>
      </x:c>
      <x:c r="B53" s="62" t="str">
        <x:v>Румяна GBU000017 ярко-розовый</x:v>
      </x:c>
      <x:c r="C53" s="58" t="str">
        <x:v>GBU000017</x:v>
      </x:c>
      <x:c r="D53" s="58" t="str">
        <x:v>GBU000017F0004</x:v>
      </x:c>
      <x:c r="E53" s="57" t="str">
        <x:v>Girls 13+</x:v>
      </x:c>
      <x:c r="F53" s="57" t="str">
        <x:v>Color Cosmetics</x:v>
      </x:c>
      <x:c r="G53" s="57" t="str">
        <x:v>Face</x:v>
      </x:c>
      <x:c r="H53" s="60" t="str">
        <x:f>IF(I53&gt;0,"Да","Нет")</x:f>
        <x:v>Да</x:v>
      </x:c>
      <x:c r="I53" s="61" t="n">
        <x:v>1</x:v>
      </x:c>
    </x:row>
    <x:row r="54">
      <x:c r="A54" s="58" t="str">
        <x:v>GBU000017-3</x:v>
      </x:c>
      <x:c r="B54" s="62" t="str">
        <x:v>Румяна GBU000017 розовый/бежевый</x:v>
      </x:c>
      <x:c r="C54" s="58" t="str">
        <x:v>GBU000017</x:v>
      </x:c>
      <x:c r="D54" s="58" t="str">
        <x:v>GBU000017F0002</x:v>
      </x:c>
      <x:c r="E54" s="57" t="str">
        <x:v>Girls 13+</x:v>
      </x:c>
      <x:c r="F54" s="57" t="str">
        <x:v>Color Cosmetics</x:v>
      </x:c>
      <x:c r="G54" s="57" t="str">
        <x:v>Face</x:v>
      </x:c>
      <x:c r="H54" s="60" t="str">
        <x:f>IF(I54&gt;0,"Да","Нет")</x:f>
        <x:v>Да</x:v>
      </x:c>
      <x:c r="I54" s="61" t="n">
        <x:v>1</x:v>
      </x:c>
    </x:row>
    <x:row r="55">
      <x:c r="A55" s="58" t="str">
        <x:v>GBU000017-4</x:v>
      </x:c>
      <x:c r="B55" s="62" t="str">
        <x:v>Румяна GBU000017 светло-розовый</x:v>
      </x:c>
      <x:c r="C55" s="58" t="str">
        <x:v>GBU000017</x:v>
      </x:c>
      <x:c r="D55" s="58" t="str">
        <x:v>GBU000017F0003</x:v>
      </x:c>
      <x:c r="E55" s="57" t="str">
        <x:v>Girls 13+</x:v>
      </x:c>
      <x:c r="F55" s="57" t="str">
        <x:v>Color Cosmetics</x:v>
      </x:c>
      <x:c r="G55" s="57" t="str">
        <x:v>Face</x:v>
      </x:c>
      <x:c r="H55" s="60" t="str">
        <x:f>IF(I55&gt;0,"Да","Нет")</x:f>
        <x:v>Да</x:v>
      </x:c>
      <x:c r="I55" s="61" t="n">
        <x:v>1</x:v>
      </x:c>
    </x:row>
    <x:row r="56">
      <x:c r="A56" s="58" t="str">
        <x:v>GBU000018-1</x:v>
      </x:c>
      <x:c r="B56" s="62" t="str">
        <x:v>Масло для губ GBU000018 зеленый</x:v>
      </x:c>
      <x:c r="C56" s="58" t="str">
        <x:v>GBU000018</x:v>
      </x:c>
      <x:c r="D56" s="58" t="str">
        <x:v>GBU000018F0002</x:v>
      </x:c>
      <x:c r="E56" s="57" t="str">
        <x:v>Girls 13+</x:v>
      </x:c>
      <x:c r="F56" s="57" t="str">
        <x:v>Color Cosmetics</x:v>
      </x:c>
      <x:c r="G56" s="57" t="str">
        <x:v>Lips</x:v>
      </x:c>
      <x:c r="H56" s="60" t="str">
        <x:f>IF(I56&gt;0,"Да","Нет")</x:f>
        <x:v>Да</x:v>
      </x:c>
      <x:c r="I56" s="61" t="n">
        <x:v>1</x:v>
      </x:c>
    </x:row>
    <x:row r="57">
      <x:c r="A57" s="58" t="str">
        <x:v>GBU000018-2</x:v>
      </x:c>
      <x:c r="B57" s="62" t="str">
        <x:v>Масло для губ GBU000018 прозрачный</x:v>
      </x:c>
      <x:c r="C57" s="58" t="str">
        <x:v>GBU000018</x:v>
      </x:c>
      <x:c r="D57" s="58" t="str">
        <x:v>GBU000018F0004</x:v>
      </x:c>
      <x:c r="E57" s="57" t="str">
        <x:v>Girls 13+</x:v>
      </x:c>
      <x:c r="F57" s="57" t="str">
        <x:v>Color Cosmetics</x:v>
      </x:c>
      <x:c r="G57" s="57" t="str">
        <x:v>Lips</x:v>
      </x:c>
      <x:c r="H57" s="60" t="str">
        <x:f>IF(I57&gt;0,"Да","Нет")</x:f>
        <x:v>Да</x:v>
      </x:c>
      <x:c r="I57" s="61" t="n">
        <x:v>1</x:v>
      </x:c>
    </x:row>
    <x:row r="58">
      <x:c r="A58" s="58" t="str">
        <x:v>GBU000018-3</x:v>
      </x:c>
      <x:c r="B58" s="62" t="str">
        <x:v>Масло для губ GBU000018 синий</x:v>
      </x:c>
      <x:c r="C58" s="58" t="str">
        <x:v>GBU000018</x:v>
      </x:c>
      <x:c r="D58" s="58" t="str">
        <x:v>GBU000018F0005</x:v>
      </x:c>
      <x:c r="E58" s="57" t="str">
        <x:v>Girls 13+</x:v>
      </x:c>
      <x:c r="F58" s="57" t="str">
        <x:v>Color Cosmetics</x:v>
      </x:c>
      <x:c r="G58" s="57" t="str">
        <x:v>Lips</x:v>
      </x:c>
      <x:c r="H58" s="60" t="str">
        <x:f>IF(I58&gt;0,"Да","Нет")</x:f>
        <x:v>Да</x:v>
      </x:c>
      <x:c r="I58" s="61" t="n">
        <x:v>1</x:v>
      </x:c>
    </x:row>
    <x:row r="59">
      <x:c r="A59" s="58" t="str">
        <x:v>GBU000018-4</x:v>
      </x:c>
      <x:c r="B59" s="62" t="str">
        <x:v>Масло для губ GBU000018 малиновый</x:v>
      </x:c>
      <x:c r="C59" s="58" t="str">
        <x:v>GBU000018</x:v>
      </x:c>
      <x:c r="D59" s="58" t="str">
        <x:v>GBU000018F0003</x:v>
      </x:c>
      <x:c r="E59" s="57" t="str">
        <x:v>Girls 13+</x:v>
      </x:c>
      <x:c r="F59" s="57" t="str">
        <x:v>Color Cosmetics</x:v>
      </x:c>
      <x:c r="G59" s="57" t="str">
        <x:v>Lips</x:v>
      </x:c>
      <x:c r="H59" s="60" t="str">
        <x:f>IF(I59&gt;0,"Да","Нет")</x:f>
        <x:v>Да</x:v>
      </x:c>
      <x:c r="I59" s="61" t="n">
        <x:v>1</x:v>
      </x:c>
    </x:row>
    <x:row r="60">
      <x:c r="A60" s="58" t="str">
        <x:v>GBU000018-5</x:v>
      </x:c>
      <x:c r="B60" s="62" t="str">
        <x:v>Масло для губ GBU000018 ярко-розовый</x:v>
      </x:c>
      <x:c r="C60" s="58" t="str">
        <x:v>GBU000018</x:v>
      </x:c>
      <x:c r="D60" s="58" t="str">
        <x:v>GBU000018F0006</x:v>
      </x:c>
      <x:c r="E60" s="57" t="str">
        <x:v>Girls 13+</x:v>
      </x:c>
      <x:c r="F60" s="57" t="str">
        <x:v>Color Cosmetics</x:v>
      </x:c>
      <x:c r="G60" s="57" t="str">
        <x:v>Lips</x:v>
      </x:c>
      <x:c r="H60" s="60" t="str">
        <x:f>IF(I60&gt;0,"Да","Нет")</x:f>
        <x:v>Да</x:v>
      </x:c>
      <x:c r="I60" s="61" t="n">
        <x:v>1</x:v>
      </x:c>
    </x:row>
    <x:row r="61">
      <x:c r="A61" s="58" t="str">
        <x:v>GBU000018-6</x:v>
      </x:c>
      <x:c r="B61" s="62" t="str">
        <x:v>Масло для губ GBU000018 желтый</x:v>
      </x:c>
      <x:c r="C61" s="58" t="str">
        <x:v>GBU000018</x:v>
      </x:c>
      <x:c r="D61" s="58" t="str">
        <x:v>GBU000018F0001</x:v>
      </x:c>
      <x:c r="E61" s="57" t="str">
        <x:v>Girls 13+</x:v>
      </x:c>
      <x:c r="F61" s="57" t="str">
        <x:v>Color Cosmetics</x:v>
      </x:c>
      <x:c r="G61" s="57" t="str">
        <x:v>Lips</x:v>
      </x:c>
      <x:c r="H61" s="60" t="str">
        <x:f>IF(I61&gt;0,"Да","Нет")</x:f>
        <x:v>Да</x:v>
      </x:c>
      <x:c r="I61" s="61" t="n">
        <x:v>1</x:v>
      </x:c>
    </x:row>
    <x:row r="62">
      <x:c r="A62" s="58" t="str">
        <x:v>GBU000019-1</x:v>
      </x:c>
      <x:c r="B62" s="62" t="str">
        <x:v>Контуринг GBU000019 коричневый</x:v>
      </x:c>
      <x:c r="C62" s="58" t="str">
        <x:v>GBU000019</x:v>
      </x:c>
      <x:c r="D62" s="58" t="str">
        <x:v>GBU000019F0001</x:v>
      </x:c>
      <x:c r="E62" s="57" t="str">
        <x:v>Girls 13+</x:v>
      </x:c>
      <x:c r="F62" s="57" t="str">
        <x:v>Color Cosmetics</x:v>
      </x:c>
      <x:c r="G62" s="57" t="str">
        <x:v>Face</x:v>
      </x:c>
      <x:c r="H62" s="60" t="str">
        <x:f>IF(I62&gt;0,"Да","Нет")</x:f>
        <x:v>Да</x:v>
      </x:c>
      <x:c r="I62" s="61" t="n">
        <x:v>1</x:v>
      </x:c>
    </x:row>
    <x:row r="63">
      <x:c r="A63" s="58" t="str">
        <x:v>GBU000019-2</x:v>
      </x:c>
      <x:c r="B63" s="62" t="str">
        <x:v>Контуринг GBU000019 темно-бежевый</x:v>
      </x:c>
      <x:c r="C63" s="58" t="str">
        <x:v>GBU000019</x:v>
      </x:c>
      <x:c r="D63" s="58" t="str">
        <x:v>GBU000019F0002</x:v>
      </x:c>
      <x:c r="E63" s="57" t="str">
        <x:v>Girls 13+</x:v>
      </x:c>
      <x:c r="F63" s="57" t="str">
        <x:v>Color Cosmetics</x:v>
      </x:c>
      <x:c r="G63" s="57" t="str">
        <x:v>Face</x:v>
      </x:c>
      <x:c r="H63" s="60" t="str">
        <x:f>IF(I63&gt;0,"Да","Нет")</x:f>
        <x:v>Да</x:v>
      </x:c>
      <x:c r="I63" s="61" t="n">
        <x:v>1</x:v>
      </x:c>
    </x:row>
    <x:row r="64">
      <x:c r="A64" s="58" t="str">
        <x:v>GBU000020-1</x:v>
      </x:c>
      <x:c r="B64" s="62" t="str">
        <x:v>Румяна GBU000020 розовый/бежевый</x:v>
      </x:c>
      <x:c r="C64" s="58" t="str">
        <x:v>GBU000020</x:v>
      </x:c>
      <x:c r="D64" s="58" t="str">
        <x:v>GBU000020F0002</x:v>
      </x:c>
      <x:c r="E64" s="57" t="str">
        <x:v>Girls 13+</x:v>
      </x:c>
      <x:c r="F64" s="57" t="str">
        <x:v>Color Cosmetics</x:v>
      </x:c>
      <x:c r="G64" s="57" t="str">
        <x:v>Face</x:v>
      </x:c>
      <x:c r="H64" s="60" t="str">
        <x:f>IF(I64&gt;0,"Да","Нет")</x:f>
        <x:v>Нет</x:v>
      </x:c>
      <x:c r="I64" s="61" t="n">
        <x:v>0</x:v>
      </x:c>
    </x:row>
    <x:row r="65">
      <x:c r="A65" s="58" t="str">
        <x:v>GBU000020-2</x:v>
      </x:c>
      <x:c r="B65" s="62" t="str">
        <x:v>Румяна GBU000020 малиновый</x:v>
      </x:c>
      <x:c r="C65" s="58" t="str">
        <x:v>GBU000020</x:v>
      </x:c>
      <x:c r="D65" s="58" t="str">
        <x:v>GBU000020F0001</x:v>
      </x:c>
      <x:c r="E65" s="57" t="str">
        <x:v>Girls 13+</x:v>
      </x:c>
      <x:c r="F65" s="57" t="str">
        <x:v>Color Cosmetics</x:v>
      </x:c>
      <x:c r="G65" s="57" t="str">
        <x:v>Face</x:v>
      </x:c>
      <x:c r="H65" s="60" t="str">
        <x:f>IF(I65&gt;0,"Да","Нет")</x:f>
        <x:v>Нет</x:v>
      </x:c>
      <x:c r="I65" s="61" t="n">
        <x:v>0</x:v>
      </x:c>
    </x:row>
    <x:row r="66">
      <x:c r="A66" s="58" t="str">
        <x:v>GBU000020-3</x:v>
      </x:c>
      <x:c r="B66" s="62" t="str">
        <x:v>Румяна GBU000020 ярко-розовый</x:v>
      </x:c>
      <x:c r="C66" s="58" t="str">
        <x:v>GBU000020</x:v>
      </x:c>
      <x:c r="D66" s="58" t="str">
        <x:v>GBU000020F0003</x:v>
      </x:c>
      <x:c r="E66" s="57" t="str">
        <x:v>Girls 13+</x:v>
      </x:c>
      <x:c r="F66" s="57" t="str">
        <x:v>Color Cosmetics</x:v>
      </x:c>
      <x:c r="G66" s="57" t="str">
        <x:v>Face</x:v>
      </x:c>
      <x:c r="H66" s="60" t="str">
        <x:f>IF(I66&gt;0,"Да","Нет")</x:f>
        <x:v>Нет</x:v>
      </x:c>
      <x:c r="I66" s="61" t="n">
        <x:v>0</x:v>
      </x:c>
    </x:row>
    <x:row r="67">
      <x:c r="A67" s="58" t="str">
        <x:v>GBU000021-1</x:v>
      </x:c>
      <x:c r="B67" s="62" t="str">
        <x:v>Набор масел для губ GBU000021 разноцветный/синий</x:v>
      </x:c>
      <x:c r="C67" s="58" t="str">
        <x:v>GBU000021</x:v>
      </x:c>
      <x:c r="D67" s="58" t="str">
        <x:v>GBU000021F0002</x:v>
      </x:c>
      <x:c r="E67" s="57" t="str">
        <x:v>Girls 13+</x:v>
      </x:c>
      <x:c r="F67" s="57" t="str">
        <x:v>Color Cosmetics</x:v>
      </x:c>
      <x:c r="G67" s="57" t="str">
        <x:v>Lips</x:v>
      </x:c>
      <x:c r="H67" s="60" t="str">
        <x:f>IF(I67&gt;0,"Да","Нет")</x:f>
        <x:v>Да</x:v>
      </x:c>
      <x:c r="I67" s="61" t="n">
        <x:v>1</x:v>
      </x:c>
    </x:row>
    <x:row r="68">
      <x:c r="A68" s="58" t="str">
        <x:v>GBU000021-2</x:v>
      </x:c>
      <x:c r="B68" s="62" t="str">
        <x:v>Набор масел для губ GBU000021 разноцветный/желтый</x:v>
      </x:c>
      <x:c r="C68" s="58" t="str">
        <x:v>GBU000021</x:v>
      </x:c>
      <x:c r="D68" s="58" t="str">
        <x:v>GBU000021F0001</x:v>
      </x:c>
      <x:c r="E68" s="57" t="str">
        <x:v>Girls 13+</x:v>
      </x:c>
      <x:c r="F68" s="57" t="str">
        <x:v>Color Cosmetics</x:v>
      </x:c>
      <x:c r="G68" s="57" t="str">
        <x:v>Lips</x:v>
      </x:c>
      <x:c r="H68" s="60" t="str">
        <x:f>IF(I68&gt;0,"Да","Нет")</x:f>
        <x:v>Да</x:v>
      </x:c>
      <x:c r="I68" s="61" t="n">
        <x:v>1</x:v>
      </x:c>
    </x:row>
    <x:row r="69">
      <x:c r="A69" s="58" t="str">
        <x:v>GBU000022-1</x:v>
      </x:c>
      <x:c r="B69" s="62" t="str">
        <x:v>Бальзам и блеск для губ GBU000022 оранжевый</x:v>
      </x:c>
      <x:c r="C69" s="58" t="str">
        <x:v>GBU000022</x:v>
      </x:c>
      <x:c r="D69" s="58" t="str">
        <x:v>GBU000022F0004</x:v>
      </x:c>
      <x:c r="E69" s="57" t="str">
        <x:v>Girls 2-8</x:v>
      </x:c>
      <x:c r="F69" s="57" t="str">
        <x:v>Color Cosmetics</x:v>
      </x:c>
      <x:c r="G69" s="57" t="str">
        <x:v>Lips</x:v>
      </x:c>
      <x:c r="H69" s="60" t="str">
        <x:f>IF(I69&gt;0,"Да","Нет")</x:f>
        <x:v>Да</x:v>
      </x:c>
      <x:c r="I69" s="61" t="n">
        <x:v>1</x:v>
      </x:c>
    </x:row>
    <x:row r="70">
      <x:c r="A70" s="58" t="str">
        <x:v>GBU000022-2</x:v>
      </x:c>
      <x:c r="B70" s="62" t="str">
        <x:v>Бальзам и блеск для губ GBU000022 желтый</x:v>
      </x:c>
      <x:c r="C70" s="58" t="str">
        <x:v>GBU000022</x:v>
      </x:c>
      <x:c r="D70" s="58" t="str">
        <x:v>GBU000022F0001</x:v>
      </x:c>
      <x:c r="E70" s="57" t="str">
        <x:v>Girls 2-8</x:v>
      </x:c>
      <x:c r="F70" s="57" t="str">
        <x:v>Color Cosmetics</x:v>
      </x:c>
      <x:c r="G70" s="57" t="str">
        <x:v>Lips</x:v>
      </x:c>
      <x:c r="H70" s="60" t="str">
        <x:f>IF(I70&gt;0,"Да","Нет")</x:f>
        <x:v>Да</x:v>
      </x:c>
      <x:c r="I70" s="61" t="n">
        <x:v>1</x:v>
      </x:c>
    </x:row>
    <x:row r="71">
      <x:c r="A71" s="58" t="str">
        <x:v>GBU000022-3</x:v>
      </x:c>
      <x:c r="B71" s="62" t="str">
        <x:v>Бальзам и блеск для губ GBU000022 розовый</x:v>
      </x:c>
      <x:c r="C71" s="58" t="str">
        <x:v>GBU000022</x:v>
      </x:c>
      <x:c r="D71" s="58" t="str">
        <x:v>GBU000022F0005</x:v>
      </x:c>
      <x:c r="E71" s="57" t="str">
        <x:v>Girls 2-8</x:v>
      </x:c>
      <x:c r="F71" s="57" t="str">
        <x:v>Color Cosmetics</x:v>
      </x:c>
      <x:c r="G71" s="57" t="str">
        <x:v>Lips</x:v>
      </x:c>
      <x:c r="H71" s="60" t="str">
        <x:f>IF(I71&gt;0,"Да","Нет")</x:f>
        <x:v>Да</x:v>
      </x:c>
      <x:c r="I71" s="61" t="n">
        <x:v>1</x:v>
      </x:c>
    </x:row>
    <x:row r="72">
      <x:c r="A72" s="58" t="str">
        <x:v>GBU000022-4</x:v>
      </x:c>
      <x:c r="B72" s="62" t="str">
        <x:v>Бальзам и блеск для губ GBU000022 лиловый</x:v>
      </x:c>
      <x:c r="C72" s="58" t="str">
        <x:v>GBU000022</x:v>
      </x:c>
      <x:c r="D72" s="58" t="str">
        <x:v>GBU000022F0003</x:v>
      </x:c>
      <x:c r="E72" s="57" t="str">
        <x:v>Girls 2-8</x:v>
      </x:c>
      <x:c r="F72" s="57" t="str">
        <x:v>Color Cosmetics</x:v>
      </x:c>
      <x:c r="G72" s="57" t="str">
        <x:v>Lips</x:v>
      </x:c>
      <x:c r="H72" s="60" t="str">
        <x:f>IF(I72&gt;0,"Да","Нет")</x:f>
        <x:v>Да</x:v>
      </x:c>
      <x:c r="I72" s="61" t="n">
        <x:v>1</x:v>
      </x:c>
    </x:row>
    <x:row r="73">
      <x:c r="A73" s="58" t="str">
        <x:v>GBU000022-5</x:v>
      </x:c>
      <x:c r="B73" s="62" t="str">
        <x:v>Бальзам и блеск для губ GBU000022 синий</x:v>
      </x:c>
      <x:c r="C73" s="58" t="str">
        <x:v>GBU000022</x:v>
      </x:c>
      <x:c r="D73" s="58" t="str">
        <x:v>GBU000022F0006</x:v>
      </x:c>
      <x:c r="E73" s="57" t="str">
        <x:v>Girls 2-8</x:v>
      </x:c>
      <x:c r="F73" s="57" t="str">
        <x:v>Color Cosmetics</x:v>
      </x:c>
      <x:c r="G73" s="57" t="str">
        <x:v>Lips</x:v>
      </x:c>
      <x:c r="H73" s="60" t="str">
        <x:f>IF(I73&gt;0,"Да","Нет")</x:f>
        <x:v>Да</x:v>
      </x:c>
      <x:c r="I73" s="61" t="n">
        <x:v>1</x:v>
      </x:c>
    </x:row>
    <x:row r="74">
      <x:c r="A74" s="58" t="str">
        <x:v>GBU000022-6</x:v>
      </x:c>
      <x:c r="B74" s="62" t="str">
        <x:v>Бальзам и блеск для губ GBU000022 зеленый</x:v>
      </x:c>
      <x:c r="C74" s="58" t="str">
        <x:v>GBU000022</x:v>
      </x:c>
      <x:c r="D74" s="58" t="str">
        <x:v>GBU000022F0002</x:v>
      </x:c>
      <x:c r="E74" s="57" t="str">
        <x:v>Girls 2-8</x:v>
      </x:c>
      <x:c r="F74" s="57" t="str">
        <x:v>Color Cosmetics</x:v>
      </x:c>
      <x:c r="G74" s="57" t="str">
        <x:v>Lips</x:v>
      </x:c>
      <x:c r="H74" s="60" t="str">
        <x:f>IF(I74&gt;0,"Да","Нет")</x:f>
        <x:v>Да</x:v>
      </x:c>
      <x:c r="I74" s="61" t="n">
        <x:v>1</x:v>
      </x:c>
    </x:row>
    <x:row r="75">
      <x:c r="A75" s="58" t="str">
        <x:v>GBU000024-1</x:v>
      </x:c>
      <x:c r="B75" s="62" t="str">
        <x:v>Масло для губ GBU000024 желтый</x:v>
      </x:c>
      <x:c r="C75" s="58" t="str">
        <x:v>GBU000024</x:v>
      </x:c>
      <x:c r="D75" s="58" t="str">
        <x:v>GBU000024F0001</x:v>
      </x:c>
      <x:c r="E75" s="57" t="str">
        <x:v>Girls 2-8</x:v>
      </x:c>
      <x:c r="F75" s="57" t="str">
        <x:v>Color Cosmetics</x:v>
      </x:c>
      <x:c r="G75" s="57" t="str">
        <x:v>Lips</x:v>
      </x:c>
      <x:c r="H75" s="60" t="str">
        <x:f>IF(I75&gt;0,"Да","Нет")</x:f>
        <x:v>Да</x:v>
      </x:c>
      <x:c r="I75" s="61" t="n">
        <x:v>1</x:v>
      </x:c>
    </x:row>
    <x:row r="76">
      <x:c r="A76" s="58" t="str">
        <x:v>GBU000024-2</x:v>
      </x:c>
      <x:c r="B76" s="62" t="str">
        <x:v>Масло для губ GBU000024 красный</x:v>
      </x:c>
      <x:c r="C76" s="58" t="str">
        <x:v>GBU000024</x:v>
      </x:c>
      <x:c r="D76" s="58" t="str">
        <x:v>GBU000024F0002</x:v>
      </x:c>
      <x:c r="E76" s="57" t="str">
        <x:v>Girls 2-8</x:v>
      </x:c>
      <x:c r="F76" s="57" t="str">
        <x:v>Color Cosmetics</x:v>
      </x:c>
      <x:c r="G76" s="57" t="str">
        <x:v>Lips</x:v>
      </x:c>
      <x:c r="H76" s="60" t="str">
        <x:f>IF(I76&gt;0,"Да","Нет")</x:f>
        <x:v>Да</x:v>
      </x:c>
      <x:c r="I76" s="61" t="n">
        <x:v>1</x:v>
      </x:c>
    </x:row>
    <x:row r="77">
      <x:c r="A77" s="58" t="str">
        <x:v>GBU000024-3</x:v>
      </x:c>
      <x:c r="B77" s="62" t="str">
        <x:v>Масло для губ GBU000024 лиловый</x:v>
      </x:c>
      <x:c r="C77" s="58" t="str">
        <x:v>GBU000024</x:v>
      </x:c>
      <x:c r="D77" s="58" t="str">
        <x:v>GBU000024F0003</x:v>
      </x:c>
      <x:c r="E77" s="57" t="str">
        <x:v>Girls 2-8</x:v>
      </x:c>
      <x:c r="F77" s="57" t="str">
        <x:v>Color Cosmetics</x:v>
      </x:c>
      <x:c r="G77" s="57" t="str">
        <x:v>Lips</x:v>
      </x:c>
      <x:c r="H77" s="60" t="str">
        <x:f>IF(I77&gt;0,"Да","Нет")</x:f>
        <x:v>Да</x:v>
      </x:c>
      <x:c r="I77" s="61" t="n">
        <x:v>1</x:v>
      </x:c>
    </x:row>
    <x:row r="78">
      <x:c r="A78" s="58" t="str">
        <x:v>GBU000024-4</x:v>
      </x:c>
      <x:c r="B78" s="62" t="str">
        <x:v>Масло для губ GBU000024 розовый</x:v>
      </x:c>
      <x:c r="C78" s="58" t="str">
        <x:v>GBU000024</x:v>
      </x:c>
      <x:c r="D78" s="58" t="str">
        <x:v>GBU000024F0004</x:v>
      </x:c>
      <x:c r="E78" s="57" t="str">
        <x:v>Girls 2-8</x:v>
      </x:c>
      <x:c r="F78" s="57" t="str">
        <x:v>Color Cosmetics</x:v>
      </x:c>
      <x:c r="G78" s="57" t="str">
        <x:v>Lips</x:v>
      </x:c>
      <x:c r="H78" s="60" t="str">
        <x:f>IF(I78&gt;0,"Да","Нет")</x:f>
        <x:v>Да</x:v>
      </x:c>
      <x:c r="I78" s="61" t="n">
        <x:v>1</x:v>
      </x:c>
    </x:row>
    <x:row r="79">
      <x:c r="A79" s="58" t="str">
        <x:v>GBU000025-1</x:v>
      </x:c>
      <x:c r="B79" s="62" t="str">
        <x:v>Влажные салфетки для снятия макияжа с ал GBU000025 серебристый</x:v>
      </x:c>
      <x:c r="C79" s="58" t="str">
        <x:v>GBU000025</x:v>
      </x:c>
      <x:c r="D79" s="58" t="str">
        <x:v>GBU000025F0001</x:v>
      </x:c>
      <x:c r="E79" s="57" t="str">
        <x:v>Girls 13+</x:v>
      </x:c>
      <x:c r="F79" s="57" t="str">
        <x:v>Skin Care</x:v>
      </x:c>
      <x:c r="G79" s="57" t="str">
        <x:v>Cleanser</x:v>
      </x:c>
      <x:c r="H79" s="60" t="str">
        <x:f>IF(I79&gt;0,"Да","Нет")</x:f>
        <x:v>Да</x:v>
      </x:c>
      <x:c r="I79" s="61" t="n">
        <x:v>1</x:v>
      </x:c>
    </x:row>
    <x:row r="80">
      <x:c r="A80" s="58" t="str">
        <x:v>GBU000064-1</x:v>
      </x:c>
      <x:c r="B80" s="62" t="str">
        <x:v>Лайнер для губ GBU000064 малиновый</x:v>
      </x:c>
      <x:c r="C80" s="58" t="str">
        <x:v>GBU000064</x:v>
      </x:c>
      <x:c r="D80" s="58" t="str">
        <x:v>GBU000064F0001</x:v>
      </x:c>
      <x:c r="E80" s="57" t="str">
        <x:v>Girls 13+</x:v>
      </x:c>
      <x:c r="F80" s="57" t="str">
        <x:v>Color Cosmetics</x:v>
      </x:c>
      <x:c r="G80" s="57" t="str">
        <x:v>Lips</x:v>
      </x:c>
      <x:c r="H80" s="60" t="str">
        <x:f>IF(I80&gt;0,"Да","Нет")</x:f>
        <x:v>Да</x:v>
      </x:c>
      <x:c r="I80" s="61" t="n">
        <x:v>1</x:v>
      </x:c>
    </x:row>
    <x:row r="81">
      <x:c r="A81" s="58" t="str">
        <x:v>GBU000064-2</x:v>
      </x:c>
      <x:c r="B81" s="62" t="str">
        <x:v>Лайнер для губ GBU000064 ярко-розовый</x:v>
      </x:c>
      <x:c r="C81" s="58" t="str">
        <x:v>GBU000064</x:v>
      </x:c>
      <x:c r="D81" s="58" t="str">
        <x:v>GBU000064F0003</x:v>
      </x:c>
      <x:c r="E81" s="57" t="str">
        <x:v>Girls 13+</x:v>
      </x:c>
      <x:c r="F81" s="57" t="str">
        <x:v>Color Cosmetics</x:v>
      </x:c>
      <x:c r="G81" s="57" t="str">
        <x:v>Lips</x:v>
      </x:c>
      <x:c r="H81" s="60" t="str">
        <x:f>IF(I81&gt;0,"Да","Нет")</x:f>
        <x:v>Да</x:v>
      </x:c>
      <x:c r="I81" s="61" t="n">
        <x:v>1</x:v>
      </x:c>
    </x:row>
    <x:row r="82">
      <x:c r="A82" s="58" t="str">
        <x:v>GBU000064-3</x:v>
      </x:c>
      <x:c r="B82" s="62" t="str">
        <x:v>Лайнер для губ GBU000064 розовый/бежевый</x:v>
      </x:c>
      <x:c r="C82" s="58" t="str">
        <x:v>GBU000064</x:v>
      </x:c>
      <x:c r="D82" s="58" t="str">
        <x:v>GBU000064F0002</x:v>
      </x:c>
      <x:c r="E82" s="57" t="str">
        <x:v>Girls 13+</x:v>
      </x:c>
      <x:c r="F82" s="57" t="str">
        <x:v>Color Cosmetics</x:v>
      </x:c>
      <x:c r="G82" s="57" t="str">
        <x:v>Lips</x:v>
      </x:c>
      <x:c r="H82" s="60" t="str">
        <x:f>IF(I82&gt;0,"Да","Нет")</x:f>
        <x:v>Да</x:v>
      </x:c>
      <x:c r="I82" s="61" t="n">
        <x:v>1</x:v>
      </x:c>
    </x:row>
    <x:row r="83">
      <x:c r="A83" s="58" t="str">
        <x:v>GBU000065-1</x:v>
      </x:c>
      <x:c r="B83" s="62" t="str">
        <x:v>Бальзам для губ GBU000065 малиновый</x:v>
      </x:c>
      <x:c r="C83" s="58" t="str">
        <x:v>GBU000065</x:v>
      </x:c>
      <x:c r="D83" s="58" t="str">
        <x:v>GBU000065F0001</x:v>
      </x:c>
      <x:c r="E83" s="57" t="str">
        <x:v>Girls 13+</x:v>
      </x:c>
      <x:c r="F83" s="57" t="str">
        <x:v>Color Cosmetics</x:v>
      </x:c>
      <x:c r="G83" s="57" t="str">
        <x:v>Lips</x:v>
      </x:c>
      <x:c r="H83" s="60" t="str">
        <x:f>IF(I83&gt;0,"Да","Нет")</x:f>
        <x:v>Да</x:v>
      </x:c>
      <x:c r="I83" s="61" t="n">
        <x:v>1</x:v>
      </x:c>
    </x:row>
    <x:row r="84">
      <x:c r="A84" s="58" t="str">
        <x:v>GBU000065-2</x:v>
      </x:c>
      <x:c r="B84" s="62" t="str">
        <x:v>Бальзам для губ GBU000065 прозрачный</x:v>
      </x:c>
      <x:c r="C84" s="58" t="str">
        <x:v>GBU000065</x:v>
      </x:c>
      <x:c r="D84" s="58" t="str">
        <x:v>GBU000065F0002</x:v>
      </x:c>
      <x:c r="E84" s="57" t="str">
        <x:v>Girls 13+</x:v>
      </x:c>
      <x:c r="F84" s="57" t="str">
        <x:v>Color Cosmetics</x:v>
      </x:c>
      <x:c r="G84" s="57" t="str">
        <x:v>Lips</x:v>
      </x:c>
      <x:c r="H84" s="60" t="str">
        <x:f>IF(I84&gt;0,"Да","Нет")</x:f>
        <x:v>Да</x:v>
      </x:c>
      <x:c r="I84" s="61" t="n">
        <x:v>1</x:v>
      </x:c>
    </x:row>
    <x:row r="85">
      <x:c r="A85" s="58" t="str">
        <x:v>GBU000065-3</x:v>
      </x:c>
      <x:c r="B85" s="62" t="str">
        <x:v>Бальзам для губ GBU000065 светло-розовый</x:v>
      </x:c>
      <x:c r="C85" s="58" t="str">
        <x:v>GBU000065</x:v>
      </x:c>
      <x:c r="D85" s="58" t="str">
        <x:v>GBU000065F0004</x:v>
      </x:c>
      <x:c r="E85" s="57" t="str">
        <x:v>Girls 13+</x:v>
      </x:c>
      <x:c r="F85" s="57" t="str">
        <x:v>Color Cosmetics</x:v>
      </x:c>
      <x:c r="G85" s="57" t="str">
        <x:v>Lips</x:v>
      </x:c>
      <x:c r="H85" s="60" t="str">
        <x:f>IF(I85&gt;0,"Да","Нет")</x:f>
        <x:v>Да</x:v>
      </x:c>
      <x:c r="I85" s="61" t="n">
        <x:v>1</x:v>
      </x:c>
    </x:row>
    <x:row r="86">
      <x:c r="A86" s="58" t="str">
        <x:v>GBU000065-4</x:v>
      </x:c>
      <x:c r="B86" s="62" t="str">
        <x:v>Бальзам для губ GBU000065 розовый/бежевый</x:v>
      </x:c>
      <x:c r="C86" s="58" t="str">
        <x:v>GBU000065</x:v>
      </x:c>
      <x:c r="D86" s="58" t="str">
        <x:v>GBU000065F0003</x:v>
      </x:c>
      <x:c r="E86" s="57" t="str">
        <x:v>Girls 13+</x:v>
      </x:c>
      <x:c r="F86" s="57" t="str">
        <x:v>Color Cosmetics</x:v>
      </x:c>
      <x:c r="G86" s="57" t="str">
        <x:v>Lips</x:v>
      </x:c>
      <x:c r="H86" s="60" t="str">
        <x:f>IF(I86&gt;0,"Да","Нет")</x:f>
        <x:v>Да</x:v>
      </x:c>
      <x:c r="I86" s="61" t="n">
        <x:v>1</x:v>
      </x:c>
    </x:row>
    <x:row r="87">
      <x:c r="A87" s="58" t="str">
        <x:v>GBU000066-1</x:v>
      </x:c>
      <x:c r="B87" s="62" t="str">
        <x:v>Тени для век GBU000066 бежевый</x:v>
      </x:c>
      <x:c r="C87" s="58" t="str">
        <x:v>GBU000066</x:v>
      </x:c>
      <x:c r="D87" s="58" t="str">
        <x:v>GBU000066F0001</x:v>
      </x:c>
      <x:c r="E87" s="57" t="str">
        <x:v>Girls 13+</x:v>
      </x:c>
      <x:c r="F87" s="57" t="str">
        <x:v>Color Cosmetics</x:v>
      </x:c>
      <x:c r="G87" s="57" t="str">
        <x:v>Eyes</x:v>
      </x:c>
      <x:c r="H87" s="60" t="str">
        <x:f>IF(I87&gt;0,"Да","Нет")</x:f>
        <x:v>Да</x:v>
      </x:c>
      <x:c r="I87" s="61" t="n">
        <x:v>1</x:v>
      </x:c>
    </x:row>
    <x:row r="88">
      <x:c r="A88" s="58" t="str">
        <x:v>GBU000066-2</x:v>
      </x:c>
      <x:c r="B88" s="62" t="str">
        <x:v>Тени для век GBU000066 коричневый</x:v>
      </x:c>
      <x:c r="C88" s="58" t="str">
        <x:v>GBU000066</x:v>
      </x:c>
      <x:c r="D88" s="58" t="str">
        <x:v>GBU000066F0002</x:v>
      </x:c>
      <x:c r="E88" s="57" t="str">
        <x:v>Girls 13+</x:v>
      </x:c>
      <x:c r="F88" s="57" t="str">
        <x:v>Color Cosmetics</x:v>
      </x:c>
      <x:c r="G88" s="57" t="str">
        <x:v>Eyes</x:v>
      </x:c>
      <x:c r="H88" s="60" t="str">
        <x:f>IF(I88&gt;0,"Да","Нет")</x:f>
        <x:v>Да</x:v>
      </x:c>
      <x:c r="I88" s="61" t="n">
        <x:v>1</x:v>
      </x:c>
    </x:row>
    <x:row r="89">
      <x:c r="A89" s="58" t="str">
        <x:v>GBU000066-3</x:v>
      </x:c>
      <x:c r="B89" s="62" t="str">
        <x:v>Тени для век GBU000066 розовый</x:v>
      </x:c>
      <x:c r="C89" s="58" t="str">
        <x:v>GBU000066</x:v>
      </x:c>
      <x:c r="D89" s="58" t="str">
        <x:v>GBU000066F0003</x:v>
      </x:c>
      <x:c r="E89" s="57" t="str">
        <x:v>Girls 13+</x:v>
      </x:c>
      <x:c r="F89" s="57" t="str">
        <x:v>Color Cosmetics</x:v>
      </x:c>
      <x:c r="G89" s="57" t="str">
        <x:v>Eyes</x:v>
      </x:c>
      <x:c r="H89" s="60" t="str">
        <x:f>IF(I89&gt;0,"Да","Нет")</x:f>
        <x:v>Да</x:v>
      </x:c>
      <x:c r="I89" s="61" t="n">
        <x:v>1</x:v>
      </x:c>
    </x:row>
    <x:row r="90">
      <x:c r="A90" s="58" t="str">
        <x:v>GBU000066-4</x:v>
      </x:c>
      <x:c r="B90" s="62" t="str">
        <x:v>Тени для век GBU000066 светло-коричневый</x:v>
      </x:c>
      <x:c r="C90" s="58" t="str">
        <x:v>GBU000066</x:v>
      </x:c>
      <x:c r="D90" s="58" t="str">
        <x:v>GBU000066F0004</x:v>
      </x:c>
      <x:c r="E90" s="57" t="str">
        <x:v>Girls 13+</x:v>
      </x:c>
      <x:c r="F90" s="57" t="str">
        <x:v>Color Cosmetics</x:v>
      </x:c>
      <x:c r="G90" s="57" t="str">
        <x:v>Eyes</x:v>
      </x:c>
      <x:c r="H90" s="60" t="str">
        <x:f>IF(I90&gt;0,"Да","Нет")</x:f>
        <x:v>Да</x:v>
      </x:c>
      <x:c r="I90" s="61" t="n">
        <x:v>1</x:v>
      </x:c>
    </x:row>
    <x:row r="91">
      <x:c r="A91" s="58" t="str">
        <x:v>GBU000067-1</x:v>
      </x:c>
      <x:c r="B91" s="62" t="str">
        <x:v>Масло для губ GBU000067 малиновый</x:v>
      </x:c>
      <x:c r="C91" s="58" t="str">
        <x:v>GBU000067</x:v>
      </x:c>
      <x:c r="D91" s="58" t="str">
        <x:v>GBU000067F0001</x:v>
      </x:c>
      <x:c r="E91" s="57" t="str">
        <x:v>Girls 13+</x:v>
      </x:c>
      <x:c r="F91" s="57" t="str">
        <x:v>Color Cosmetics</x:v>
      </x:c>
      <x:c r="G91" s="57" t="str">
        <x:v>Lips</x:v>
      </x:c>
      <x:c r="H91" s="60" t="str">
        <x:f>IF(I91&gt;0,"Да","Нет")</x:f>
        <x:v>Да</x:v>
      </x:c>
      <x:c r="I91" s="61" t="n">
        <x:v>1</x:v>
      </x:c>
    </x:row>
    <x:row r="92">
      <x:c r="A92" s="58" t="str">
        <x:v>GBU000067-2</x:v>
      </x:c>
      <x:c r="B92" s="62" t="str">
        <x:v>Масло для губ GBU000067 светло-розовый</x:v>
      </x:c>
      <x:c r="C92" s="58" t="str">
        <x:v>GBU000067</x:v>
      </x:c>
      <x:c r="D92" s="58" t="str">
        <x:v>GBU000067F0003</x:v>
      </x:c>
      <x:c r="E92" s="57" t="str">
        <x:v>Girls 13+</x:v>
      </x:c>
      <x:c r="F92" s="57" t="str">
        <x:v>Color Cosmetics</x:v>
      </x:c>
      <x:c r="G92" s="57" t="str">
        <x:v>Lips</x:v>
      </x:c>
      <x:c r="H92" s="60" t="str">
        <x:f>IF(I92&gt;0,"Да","Нет")</x:f>
        <x:v>Да</x:v>
      </x:c>
      <x:c r="I92" s="61" t="n">
        <x:v>1</x:v>
      </x:c>
    </x:row>
    <x:row r="93">
      <x:c r="A93" s="58" t="str">
        <x:v>GBU000067-3</x:v>
      </x:c>
      <x:c r="B93" s="62" t="str">
        <x:v>Масло для губ GBU000067 темно-малиновый</x:v>
      </x:c>
      <x:c r="C93" s="58" t="str">
        <x:v>GBU000067</x:v>
      </x:c>
      <x:c r="D93" s="58" t="str">
        <x:v>GBU000067F0004</x:v>
      </x:c>
      <x:c r="E93" s="57" t="str">
        <x:v>Girls 13+</x:v>
      </x:c>
      <x:c r="F93" s="57" t="str">
        <x:v>Color Cosmetics</x:v>
      </x:c>
      <x:c r="G93" s="57" t="str">
        <x:v>Lips</x:v>
      </x:c>
      <x:c r="H93" s="60" t="str">
        <x:f>IF(I93&gt;0,"Да","Нет")</x:f>
        <x:v>Да</x:v>
      </x:c>
      <x:c r="I93" s="61" t="n">
        <x:v>1</x:v>
      </x:c>
    </x:row>
    <x:row r="94">
      <x:c r="A94" s="58" t="str">
        <x:v>GBU000067-4</x:v>
      </x:c>
      <x:c r="B94" s="62" t="str">
        <x:v>Масло для губ GBU000067 прозрачный</x:v>
      </x:c>
      <x:c r="C94" s="58" t="str">
        <x:v>GBU000067</x:v>
      </x:c>
      <x:c r="D94" s="58" t="str">
        <x:v>GBU000067F0002</x:v>
      </x:c>
      <x:c r="E94" s="57" t="str">
        <x:v>Girls 13+</x:v>
      </x:c>
      <x:c r="F94" s="57" t="str">
        <x:v>Color Cosmetics</x:v>
      </x:c>
      <x:c r="G94" s="57" t="str">
        <x:v>Lips</x:v>
      </x:c>
      <x:c r="H94" s="60" t="str">
        <x:f>IF(I94&gt;0,"Да","Нет")</x:f>
        <x:v>Да</x:v>
      </x:c>
      <x:c r="I94" s="61" t="n">
        <x:v>1</x:v>
      </x:c>
    </x:row>
    <x:row r="95">
      <x:c r="A95" s="58" t="str">
        <x:v>GBU000068-1</x:v>
      </x:c>
      <x:c r="B95" s="62" t="str">
        <x:v>Тушь для ресниц GBU000068 черный</x:v>
      </x:c>
      <x:c r="C95" s="58" t="str">
        <x:v>GBU000068</x:v>
      </x:c>
      <x:c r="D95" s="58" t="str">
        <x:v>GBU000068F0005</x:v>
      </x:c>
      <x:c r="E95" s="57" t="str">
        <x:v>Girls 13+</x:v>
      </x:c>
      <x:c r="F95" s="57" t="str">
        <x:v>Color Cosmetics</x:v>
      </x:c>
      <x:c r="G95" s="57" t="str">
        <x:v>Eyes</x:v>
      </x:c>
      <x:c r="H95" s="60" t="str">
        <x:f>IF(I95&gt;0,"Да","Нет")</x:f>
        <x:v>Да</x:v>
      </x:c>
      <x:c r="I95" s="61" t="n">
        <x:v>1</x:v>
      </x:c>
    </x:row>
    <x:row r="96">
      <x:c r="A96" s="58" t="str">
        <x:v>GBU000068-2</x:v>
      </x:c>
      <x:c r="B96" s="62" t="str">
        <x:v>Тушь для ресниц GBU000068 коричневый</x:v>
      </x:c>
      <x:c r="C96" s="58" t="str">
        <x:v>GBU000068</x:v>
      </x:c>
      <x:c r="D96" s="58" t="str">
        <x:v>GBU000068F0002</x:v>
      </x:c>
      <x:c r="E96" s="57" t="str">
        <x:v>Girls 13+</x:v>
      </x:c>
      <x:c r="F96" s="57" t="str">
        <x:v>Color Cosmetics</x:v>
      </x:c>
      <x:c r="G96" s="57" t="str">
        <x:v>Eyes</x:v>
      </x:c>
      <x:c r="H96" s="60" t="str">
        <x:f>IF(I96&gt;0,"Да","Нет")</x:f>
        <x:v>Да</x:v>
      </x:c>
      <x:c r="I96" s="61" t="n">
        <x:v>1</x:v>
      </x:c>
    </x:row>
    <x:row r="97">
      <x:c r="A97" s="58" t="str">
        <x:v>GBU000068-3</x:v>
      </x:c>
      <x:c r="B97" s="62" t="str">
        <x:v>Тушь для ресниц GBU000068 зеленый</x:v>
      </x:c>
      <x:c r="C97" s="58" t="str">
        <x:v>GBU000068</x:v>
      </x:c>
      <x:c r="D97" s="58" t="str">
        <x:v>GBU000068F0001</x:v>
      </x:c>
      <x:c r="E97" s="57" t="str">
        <x:v>Girls 13+</x:v>
      </x:c>
      <x:c r="F97" s="57" t="str">
        <x:v>Color Cosmetics</x:v>
      </x:c>
      <x:c r="G97" s="57" t="str">
        <x:v>Eyes</x:v>
      </x:c>
      <x:c r="H97" s="60" t="str">
        <x:f>IF(I97&gt;0,"Да","Нет")</x:f>
        <x:v>Да</x:v>
      </x:c>
      <x:c r="I97" s="61" t="n">
        <x:v>1</x:v>
      </x:c>
    </x:row>
    <x:row r="98">
      <x:c r="A98" s="58" t="str">
        <x:v>GBU000068-4</x:v>
      </x:c>
      <x:c r="B98" s="62" t="str">
        <x:v>Тушь для ресниц GBU000068 синий</x:v>
      </x:c>
      <x:c r="C98" s="58" t="str">
        <x:v>GBU000068</x:v>
      </x:c>
      <x:c r="D98" s="58" t="str">
        <x:v>GBU000068F0004</x:v>
      </x:c>
      <x:c r="E98" s="57" t="str">
        <x:v>Girls 13+</x:v>
      </x:c>
      <x:c r="F98" s="57" t="str">
        <x:v>Color Cosmetics</x:v>
      </x:c>
      <x:c r="G98" s="57" t="str">
        <x:v>Eyes</x:v>
      </x:c>
      <x:c r="H98" s="60" t="str">
        <x:f>IF(I98&gt;0,"Да","Нет")</x:f>
        <x:v>Да</x:v>
      </x:c>
      <x:c r="I98" s="61" t="n">
        <x:v>1</x:v>
      </x:c>
    </x:row>
    <x:row r="99">
      <x:c r="A99" s="58" t="str">
        <x:v>GBU000068-5</x:v>
      </x:c>
      <x:c r="B99" s="62" t="str">
        <x:v>Тушь для ресниц GBU000068 розовый</x:v>
      </x:c>
      <x:c r="C99" s="58" t="str">
        <x:v>GBU000068</x:v>
      </x:c>
      <x:c r="D99" s="58" t="str">
        <x:v>GBU000068F0003</x:v>
      </x:c>
      <x:c r="E99" s="57" t="str">
        <x:v>Girls 13+</x:v>
      </x:c>
      <x:c r="F99" s="57" t="str">
        <x:v>Color Cosmetics</x:v>
      </x:c>
      <x:c r="G99" s="57" t="str">
        <x:v>Eyes</x:v>
      </x:c>
      <x:c r="H99" s="60" t="str">
        <x:f>IF(I99&gt;0,"Да","Нет")</x:f>
        <x:v>Да</x:v>
      </x:c>
      <x:c r="I99" s="61" t="n">
        <x:v>1</x:v>
      </x:c>
    </x:row>
    <x:row r="100">
      <x:c r="A100" s="58" t="str">
        <x:v>GBU000069-1</x:v>
      </x:c>
      <x:c r="B100" s="62" t="str">
        <x:v>Блеск для губ GBU000069 красный</x:v>
      </x:c>
      <x:c r="C100" s="58" t="str">
        <x:v>GBU000069</x:v>
      </x:c>
      <x:c r="D100" s="58" t="str">
        <x:v>GBU000069F0001</x:v>
      </x:c>
      <x:c r="E100" s="57" t="str">
        <x:v>Girls 13+</x:v>
      </x:c>
      <x:c r="F100" s="57" t="str">
        <x:v>Color Cosmetics</x:v>
      </x:c>
      <x:c r="G100" s="57" t="str">
        <x:v>Lips</x:v>
      </x:c>
      <x:c r="H100" s="60" t="str">
        <x:f>IF(I100&gt;0,"Да","Нет")</x:f>
        <x:v>Да</x:v>
      </x:c>
      <x:c r="I100" s="61" t="n">
        <x:v>1</x:v>
      </x:c>
    </x:row>
    <x:row r="101">
      <x:c r="A101" s="58" t="str">
        <x:v>GBU000069-2</x:v>
      </x:c>
      <x:c r="B101" s="62" t="str">
        <x:v>Блеск для губ GBU000069 розовый</x:v>
      </x:c>
      <x:c r="C101" s="58" t="str">
        <x:v>GBU000069</x:v>
      </x:c>
      <x:c r="D101" s="58" t="str">
        <x:v>GBU000069F0002</x:v>
      </x:c>
      <x:c r="E101" s="57" t="str">
        <x:v>Girls 13+</x:v>
      </x:c>
      <x:c r="F101" s="57" t="str">
        <x:v>Color Cosmetics</x:v>
      </x:c>
      <x:c r="G101" s="57" t="str">
        <x:v>Lips</x:v>
      </x:c>
      <x:c r="H101" s="60" t="str">
        <x:f>IF(I101&gt;0,"Да","Нет")</x:f>
        <x:v>Да</x:v>
      </x:c>
      <x:c r="I101" s="61" t="n">
        <x:v>1</x:v>
      </x:c>
    </x:row>
    <x:row r="102">
      <x:c r="A102" s="58" t="str">
        <x:v>GBU000069-3</x:v>
      </x:c>
      <x:c r="B102" s="62" t="str">
        <x:v>Блеск для губ GBU000069 розовый/бежевый</x:v>
      </x:c>
      <x:c r="C102" s="58" t="str">
        <x:v>GBU000069</x:v>
      </x:c>
      <x:c r="D102" s="58" t="str">
        <x:v>GBU000069F0003</x:v>
      </x:c>
      <x:c r="E102" s="57" t="str">
        <x:v>Girls 13+</x:v>
      </x:c>
      <x:c r="F102" s="57" t="str">
        <x:v>Color Cosmetics</x:v>
      </x:c>
      <x:c r="G102" s="57" t="str">
        <x:v>Lips</x:v>
      </x:c>
      <x:c r="H102" s="60" t="str">
        <x:f>IF(I102&gt;0,"Да","Нет")</x:f>
        <x:v>Да</x:v>
      </x:c>
      <x:c r="I102" s="61" t="n">
        <x:v>1</x:v>
      </x:c>
    </x:row>
    <x:row r="103">
      <x:c r="A103" s="58" t="str">
        <x:v>GBU000070-1</x:v>
      </x:c>
      <x:c r="B103" s="62" t="str">
        <x:v>Тинт для губ GBU000070 ярко-розовый</x:v>
      </x:c>
      <x:c r="C103" s="58" t="str">
        <x:v>GBU000070</x:v>
      </x:c>
      <x:c r="D103" s="58" t="str">
        <x:v>GBU000070F0004</x:v>
      </x:c>
      <x:c r="E103" s="57" t="str">
        <x:v>Girls 13+</x:v>
      </x:c>
      <x:c r="F103" s="57" t="str">
        <x:v>Color Cosmetics</x:v>
      </x:c>
      <x:c r="G103" s="57" t="str">
        <x:v>Lips</x:v>
      </x:c>
      <x:c r="H103" s="60" t="str">
        <x:f>IF(I103&gt;0,"Да","Нет")</x:f>
        <x:v>Да</x:v>
      </x:c>
      <x:c r="I103" s="61" t="n">
        <x:v>1</x:v>
      </x:c>
    </x:row>
    <x:row r="104">
      <x:c r="A104" s="58" t="str">
        <x:v>GBU000070-2</x:v>
      </x:c>
      <x:c r="B104" s="62" t="str">
        <x:v>Тинт для губ GBU000070 малиновый</x:v>
      </x:c>
      <x:c r="C104" s="58" t="str">
        <x:v>GBU000070</x:v>
      </x:c>
      <x:c r="D104" s="58" t="str">
        <x:v>GBU000070F0002</x:v>
      </x:c>
      <x:c r="E104" s="57" t="str">
        <x:v>Girls 13+</x:v>
      </x:c>
      <x:c r="F104" s="57" t="str">
        <x:v>Color Cosmetics</x:v>
      </x:c>
      <x:c r="G104" s="57" t="str">
        <x:v>Lips</x:v>
      </x:c>
      <x:c r="H104" s="60" t="str">
        <x:f>IF(I104&gt;0,"Да","Нет")</x:f>
        <x:v>Да</x:v>
      </x:c>
      <x:c r="I104" s="61" t="n">
        <x:v>1</x:v>
      </x:c>
    </x:row>
    <x:row r="105">
      <x:c r="A105" s="58" t="str">
        <x:v>GBU000070-3</x:v>
      </x:c>
      <x:c r="B105" s="62" t="str">
        <x:v>Тинт для губ GBU000070 розовый/бежевый</x:v>
      </x:c>
      <x:c r="C105" s="58" t="str">
        <x:v>GBU000070</x:v>
      </x:c>
      <x:c r="D105" s="58" t="str">
        <x:v>GBU000070F0003</x:v>
      </x:c>
      <x:c r="E105" s="57" t="str">
        <x:v>Girls 13+</x:v>
      </x:c>
      <x:c r="F105" s="57" t="str">
        <x:v>Color Cosmetics</x:v>
      </x:c>
      <x:c r="G105" s="57" t="str">
        <x:v>Lips</x:v>
      </x:c>
      <x:c r="H105" s="60" t="str">
        <x:f>IF(I105&gt;0,"Да","Нет")</x:f>
        <x:v>Да</x:v>
      </x:c>
      <x:c r="I105" s="61" t="n">
        <x:v>1</x:v>
      </x:c>
    </x:row>
    <x:row r="106">
      <x:c r="A106" s="58" t="str">
        <x:v>GBU000070-4</x:v>
      </x:c>
      <x:c r="B106" s="62" t="str">
        <x:v>Тинт для губ GBU000070 красный</x:v>
      </x:c>
      <x:c r="C106" s="58" t="str">
        <x:v>GBU000070</x:v>
      </x:c>
      <x:c r="D106" s="58" t="str">
        <x:v>GBU000070F0001</x:v>
      </x:c>
      <x:c r="E106" s="57" t="str">
        <x:v>Girls 13+</x:v>
      </x:c>
      <x:c r="F106" s="57" t="str">
        <x:v>Color Cosmetics</x:v>
      </x:c>
      <x:c r="G106" s="57" t="str">
        <x:v>Lips</x:v>
      </x:c>
      <x:c r="H106" s="60" t="str">
        <x:f>IF(I106&gt;0,"Да","Нет")</x:f>
        <x:v>Да</x:v>
      </x:c>
      <x:c r="I106" s="61" t="n">
        <x:v>1</x:v>
      </x:c>
    </x:row>
    <x:row r="107">
      <x:c r="A107" s="58" t="str">
        <x:v>GBU000071-1</x:v>
      </x:c>
      <x:c r="B107" s="62" t="str">
        <x:v>Набор теней для век GBU000071 разноцветный</x:v>
      </x:c>
      <x:c r="C107" s="58" t="str">
        <x:v>GBU000071</x:v>
      </x:c>
      <x:c r="D107" s="58" t="str">
        <x:v>GBU000071F0001</x:v>
      </x:c>
      <x:c r="E107" s="57" t="str">
        <x:v>Girls 13+</x:v>
      </x:c>
      <x:c r="F107" s="57" t="str">
        <x:v>Color Cosmetics</x:v>
      </x:c>
      <x:c r="G107" s="57" t="str">
        <x:v>Eyes</x:v>
      </x:c>
      <x:c r="H107" s="60" t="str">
        <x:f>IF(I107&gt;0,"Да","Нет")</x:f>
        <x:v>Да</x:v>
      </x:c>
      <x:c r="I107" s="61" t="n">
        <x:v>1</x:v>
      </x:c>
    </x:row>
    <x:row r="108">
      <x:c r="A108" s="58" t="str">
        <x:v>GBU000071-2</x:v>
      </x:c>
      <x:c r="B108" s="62" t="str">
        <x:v>Набор теней для век GBU000071 разноцветный/розовый</x:v>
      </x:c>
      <x:c r="C108" s="58" t="str">
        <x:v>GBU000071</x:v>
      </x:c>
      <x:c r="D108" s="58" t="str">
        <x:v>GBU000071F0002</x:v>
      </x:c>
      <x:c r="E108" s="57" t="str">
        <x:v>Girls 13+</x:v>
      </x:c>
      <x:c r="F108" s="57" t="str">
        <x:v>Color Cosmetics</x:v>
      </x:c>
      <x:c r="G108" s="57" t="str">
        <x:v>Eyes</x:v>
      </x:c>
      <x:c r="H108" s="60" t="str">
        <x:f>IF(I108&gt;0,"Да","Нет")</x:f>
        <x:v>Да</x:v>
      </x:c>
      <x:c r="I108" s="61" t="n">
        <x:v>1</x:v>
      </x:c>
    </x:row>
    <x:row r="109">
      <x:c r="A109" s="58" t="str">
        <x:v>GBU000072-1</x:v>
      </x:c>
      <x:c r="B109" s="62" t="str">
        <x:v>Румяна GBU000072 ярко-розовый</x:v>
      </x:c>
      <x:c r="C109" s="58" t="str">
        <x:v>GBU000072</x:v>
      </x:c>
      <x:c r="D109" s="58" t="str">
        <x:v>GBU000072F0003</x:v>
      </x:c>
      <x:c r="E109" s="57" t="str">
        <x:v>Girls 13+</x:v>
      </x:c>
      <x:c r="F109" s="57" t="str">
        <x:v>Color Cosmetics</x:v>
      </x:c>
      <x:c r="G109" s="57" t="str">
        <x:v>Face</x:v>
      </x:c>
      <x:c r="H109" s="60" t="str">
        <x:f>IF(I109&gt;0,"Да","Нет")</x:f>
        <x:v>Да</x:v>
      </x:c>
      <x:c r="I109" s="61" t="n">
        <x:v>1</x:v>
      </x:c>
    </x:row>
    <x:row r="110">
      <x:c r="A110" s="58" t="str">
        <x:v>GBU000072-2</x:v>
      </x:c>
      <x:c r="B110" s="62" t="str">
        <x:v>Румяна GBU000072 малиновый</x:v>
      </x:c>
      <x:c r="C110" s="58" t="str">
        <x:v>GBU000072</x:v>
      </x:c>
      <x:c r="D110" s="58" t="str">
        <x:v>GBU000072F0002</x:v>
      </x:c>
      <x:c r="E110" s="57" t="str">
        <x:v>Girls 13+</x:v>
      </x:c>
      <x:c r="F110" s="57" t="str">
        <x:v>Color Cosmetics</x:v>
      </x:c>
      <x:c r="G110" s="57" t="str">
        <x:v>Face</x:v>
      </x:c>
      <x:c r="H110" s="60" t="str">
        <x:f>IF(I110&gt;0,"Да","Нет")</x:f>
        <x:v>Да</x:v>
      </x:c>
      <x:c r="I110" s="61" t="n">
        <x:v>1</x:v>
      </x:c>
    </x:row>
    <x:row r="111">
      <x:c r="A111" s="58" t="str">
        <x:v>GBU000072-3</x:v>
      </x:c>
      <x:c r="B111" s="62" t="str">
        <x:v>Румяна GBU000072 красный</x:v>
      </x:c>
      <x:c r="C111" s="58" t="str">
        <x:v>GBU000072</x:v>
      </x:c>
      <x:c r="D111" s="58" t="str">
        <x:v>GBU000072F0001</x:v>
      </x:c>
      <x:c r="E111" s="57" t="str">
        <x:v>Girls 13+</x:v>
      </x:c>
      <x:c r="F111" s="57" t="str">
        <x:v>Color Cosmetics</x:v>
      </x:c>
      <x:c r="G111" s="57" t="str">
        <x:v>Face</x:v>
      </x:c>
      <x:c r="H111" s="60" t="str">
        <x:f>IF(I111&gt;0,"Да","Нет")</x:f>
        <x:v>Да</x:v>
      </x:c>
      <x:c r="I111" s="61" t="n">
        <x:v>1</x:v>
      </x:c>
    </x:row>
    <x:row r="112">
      <x:c r="A112" s="58" t="str">
        <x:v>GBU000073-1</x:v>
      </x:c>
      <x:c r="B112" s="62" t="str">
        <x:v>Тени для век GBU000073 светло-розовый</x:v>
      </x:c>
      <x:c r="C112" s="58" t="str">
        <x:v>GBU000073</x:v>
      </x:c>
      <x:c r="D112" s="58" t="str">
        <x:v>GBU000073F0003</x:v>
      </x:c>
      <x:c r="E112" s="57" t="str">
        <x:v>Girls 13+</x:v>
      </x:c>
      <x:c r="F112" s="57" t="str">
        <x:v>Color Cosmetics</x:v>
      </x:c>
      <x:c r="G112" s="57" t="str">
        <x:v>Eyes</x:v>
      </x:c>
      <x:c r="H112" s="60" t="str">
        <x:f>IF(I112&gt;0,"Да","Нет")</x:f>
        <x:v>Да</x:v>
      </x:c>
      <x:c r="I112" s="61" t="n">
        <x:v>1</x:v>
      </x:c>
    </x:row>
    <x:row r="113">
      <x:c r="A113" s="58" t="str">
        <x:v>GBU000073-2</x:v>
      </x:c>
      <x:c r="B113" s="62" t="str">
        <x:v>Тени для век GBU000073 разноцветный/белый</x:v>
      </x:c>
      <x:c r="C113" s="58" t="str">
        <x:v>GBU000073</x:v>
      </x:c>
      <x:c r="D113" s="58" t="str">
        <x:v>GBU000073F0002</x:v>
      </x:c>
      <x:c r="E113" s="57" t="str">
        <x:v>Girls 13+</x:v>
      </x:c>
      <x:c r="F113" s="57" t="str">
        <x:v>Color Cosmetics</x:v>
      </x:c>
      <x:c r="G113" s="57" t="str">
        <x:v>Eyes</x:v>
      </x:c>
      <x:c r="H113" s="60" t="str">
        <x:f>IF(I113&gt;0,"Да","Нет")</x:f>
        <x:v>Да</x:v>
      </x:c>
      <x:c r="I113" s="61" t="n">
        <x:v>1</x:v>
      </x:c>
    </x:row>
    <x:row r="114">
      <x:c r="A114" s="58" t="str">
        <x:v>GBU000073-3</x:v>
      </x:c>
      <x:c r="B114" s="62" t="str">
        <x:v>Тени для век GBU000073 золотистый</x:v>
      </x:c>
      <x:c r="C114" s="58" t="str">
        <x:v>GBU000073</x:v>
      </x:c>
      <x:c r="D114" s="58" t="str">
        <x:v>GBU000073F0001</x:v>
      </x:c>
      <x:c r="E114" s="57" t="str">
        <x:v>Girls 13+</x:v>
      </x:c>
      <x:c r="F114" s="57" t="str">
        <x:v>Color Cosmetics</x:v>
      </x:c>
      <x:c r="G114" s="57" t="str">
        <x:v>Eyes</x:v>
      </x:c>
      <x:c r="H114" s="60" t="str">
        <x:f>IF(I114&gt;0,"Да","Нет")</x:f>
        <x:v>Да</x:v>
      </x:c>
      <x:c r="I114" s="61" t="n">
        <x:v>1</x:v>
      </x:c>
    </x:row>
    <x:row r="115">
      <x:c r="A115" s="58" t="str">
        <x:v>GBU000073-4</x:v>
      </x:c>
      <x:c r="B115" s="62" t="str">
        <x:v>Тени для век GBU000073 фиолетовый</x:v>
      </x:c>
      <x:c r="C115" s="58" t="str">
        <x:v>GBU000073</x:v>
      </x:c>
      <x:c r="D115" s="58" t="str">
        <x:v>GBU000073F0004</x:v>
      </x:c>
      <x:c r="E115" s="57" t="str">
        <x:v>Girls 13+</x:v>
      </x:c>
      <x:c r="F115" s="57" t="str">
        <x:v>Color Cosmetics</x:v>
      </x:c>
      <x:c r="G115" s="57" t="str">
        <x:v>Eyes</x:v>
      </x:c>
      <x:c r="H115" s="60" t="str">
        <x:f>IF(I115&gt;0,"Да","Нет")</x:f>
        <x:v>Да</x:v>
      </x:c>
      <x:c r="I115" s="61" t="n">
        <x:v>1</x:v>
      </x:c>
    </x:row>
    <x:row r="116">
      <x:c r="A116" s="58" t="str">
        <x:v>GBU000074-1</x:v>
      </x:c>
      <x:c r="B116" s="62" t="str">
        <x:v>Хайлайтер GBU000074 светло-розовый</x:v>
      </x:c>
      <x:c r="C116" s="58" t="str">
        <x:v>GBU000074</x:v>
      </x:c>
      <x:c r="D116" s="58" t="str">
        <x:v>GBU000074F0002</x:v>
      </x:c>
      <x:c r="E116" s="57" t="str">
        <x:v>Girls 13+</x:v>
      </x:c>
      <x:c r="F116" s="57" t="str">
        <x:v>Color Cosmetics</x:v>
      </x:c>
      <x:c r="G116" s="57" t="str">
        <x:v>Face</x:v>
      </x:c>
      <x:c r="H116" s="60" t="str">
        <x:f>IF(I116&gt;0,"Да","Нет")</x:f>
        <x:v>Да</x:v>
      </x:c>
      <x:c r="I116" s="61" t="n">
        <x:v>1</x:v>
      </x:c>
    </x:row>
    <x:row r="117">
      <x:c r="A117" s="58" t="str">
        <x:v>GBU000074-2</x:v>
      </x:c>
      <x:c r="B117" s="62" t="str">
        <x:v>Хайлайтер GBU000074 золотистый</x:v>
      </x:c>
      <x:c r="C117" s="58" t="str">
        <x:v>GBU000074</x:v>
      </x:c>
      <x:c r="D117" s="58" t="str">
        <x:v>GBU000074F0001</x:v>
      </x:c>
      <x:c r="E117" s="57" t="str">
        <x:v>Girls 13+</x:v>
      </x:c>
      <x:c r="F117" s="57" t="str">
        <x:v>Color Cosmetics</x:v>
      </x:c>
      <x:c r="G117" s="57" t="str">
        <x:v>Face</x:v>
      </x:c>
      <x:c r="H117" s="60" t="str">
        <x:f>IF(I117&gt;0,"Да","Нет")</x:f>
        <x:v>Да</x:v>
      </x:c>
      <x:c r="I117" s="61" t="n">
        <x:v>1</x:v>
      </x:c>
    </x:row>
    <x:row r="118">
      <x:c r="A118" s="58" t="str">
        <x:v>GBU000075-1</x:v>
      </x:c>
      <x:c r="B118" s="62" t="str">
        <x:v>Гель для бровей GBU000075 коричневый</x:v>
      </x:c>
      <x:c r="C118" s="58" t="str">
        <x:v>GBU000075</x:v>
      </x:c>
      <x:c r="D118" s="58" t="str">
        <x:v>GBU000075F0001</x:v>
      </x:c>
      <x:c r="E118" s="57" t="str">
        <x:v>Girls 13+</x:v>
      </x:c>
      <x:c r="F118" s="57" t="str">
        <x:v>Color Cosmetics</x:v>
      </x:c>
      <x:c r="G118" s="57" t="str">
        <x:v>Eyes</x:v>
      </x:c>
      <x:c r="H118" s="60" t="str">
        <x:f>IF(I118&gt;0,"Да","Нет")</x:f>
        <x:v>Да</x:v>
      </x:c>
      <x:c r="I118" s="61" t="n">
        <x:v>1</x:v>
      </x:c>
    </x:row>
    <x:row r="119">
      <x:c r="A119" s="58" t="str">
        <x:v>GBU000075-2</x:v>
      </x:c>
      <x:c r="B119" s="62" t="str">
        <x:v>Гель для бровей GBU000075 темно-бежевый</x:v>
      </x:c>
      <x:c r="C119" s="58" t="str">
        <x:v>GBU000075</x:v>
      </x:c>
      <x:c r="D119" s="58" t="str">
        <x:v>GBU000075F0003</x:v>
      </x:c>
      <x:c r="E119" s="57" t="str">
        <x:v>Girls 13+</x:v>
      </x:c>
      <x:c r="F119" s="57" t="str">
        <x:v>Color Cosmetics</x:v>
      </x:c>
      <x:c r="G119" s="57" t="str">
        <x:v>Eyes</x:v>
      </x:c>
      <x:c r="H119" s="60" t="str">
        <x:f>IF(I119&gt;0,"Да","Нет")</x:f>
        <x:v>Да</x:v>
      </x:c>
      <x:c r="I119" s="61" t="n">
        <x:v>1</x:v>
      </x:c>
    </x:row>
    <x:row r="120">
      <x:c r="A120" s="58" t="str">
        <x:v>GBU000075-3</x:v>
      </x:c>
      <x:c r="B120" s="62" t="str">
        <x:v>Гель для бровей GBU000075 прозрачный</x:v>
      </x:c>
      <x:c r="C120" s="58" t="str">
        <x:v>GBU000075</x:v>
      </x:c>
      <x:c r="D120" s="58" t="str">
        <x:v>GBU000075F0002</x:v>
      </x:c>
      <x:c r="E120" s="57" t="str">
        <x:v>Girls 13+</x:v>
      </x:c>
      <x:c r="F120" s="57" t="str">
        <x:v>Color Cosmetics</x:v>
      </x:c>
      <x:c r="G120" s="57" t="str">
        <x:v>Eyes</x:v>
      </x:c>
      <x:c r="H120" s="60" t="str">
        <x:f>IF(I120&gt;0,"Да","Нет")</x:f>
        <x:v>Да</x:v>
      </x:c>
      <x:c r="I120" s="61" t="n">
        <x:v>1</x:v>
      </x:c>
    </x:row>
    <x:row r="121">
      <x:c r="A121" s="58" t="str">
        <x:v>GBU000076-1</x:v>
      </x:c>
      <x:c r="B121" s="62" t="str">
        <x:v>Лайнер для глаз GBU000076 черный</x:v>
      </x:c>
      <x:c r="C121" s="58" t="str">
        <x:v>GBU000076</x:v>
      </x:c>
      <x:c r="D121" s="58" t="str">
        <x:v>GBU000076F0005</x:v>
      </x:c>
      <x:c r="E121" s="57" t="str">
        <x:v>Girls 13+</x:v>
      </x:c>
      <x:c r="F121" s="57" t="str">
        <x:v>Color Cosmetics</x:v>
      </x:c>
      <x:c r="G121" s="57" t="str">
        <x:v>Eyes</x:v>
      </x:c>
      <x:c r="H121" s="60" t="str">
        <x:f>IF(I121&gt;0,"Да","Нет")</x:f>
        <x:v>Да</x:v>
      </x:c>
      <x:c r="I121" s="61" t="n">
        <x:v>1</x:v>
      </x:c>
    </x:row>
    <x:row r="122">
      <x:c r="A122" s="58" t="str">
        <x:v>GBU000076-2</x:v>
      </x:c>
      <x:c r="B122" s="62" t="str">
        <x:v>Лайнер для глаз GBU000076 коричневый</x:v>
      </x:c>
      <x:c r="C122" s="58" t="str">
        <x:v>GBU000076</x:v>
      </x:c>
      <x:c r="D122" s="58" t="str">
        <x:v>GBU000076F0002</x:v>
      </x:c>
      <x:c r="E122" s="57" t="str">
        <x:v>Girls 13+</x:v>
      </x:c>
      <x:c r="F122" s="57" t="str">
        <x:v>Color Cosmetics</x:v>
      </x:c>
      <x:c r="G122" s="57" t="str">
        <x:v>Eyes</x:v>
      </x:c>
      <x:c r="H122" s="60" t="str">
        <x:f>IF(I122&gt;0,"Да","Нет")</x:f>
        <x:v>Да</x:v>
      </x:c>
      <x:c r="I122" s="61" t="n">
        <x:v>1</x:v>
      </x:c>
    </x:row>
    <x:row r="123">
      <x:c r="A123" s="58" t="str">
        <x:v>GBU000076-3</x:v>
      </x:c>
      <x:c r="B123" s="62" t="str">
        <x:v>Лайнер для глаз GBU000076 зеленый</x:v>
      </x:c>
      <x:c r="C123" s="58" t="str">
        <x:v>GBU000076</x:v>
      </x:c>
      <x:c r="D123" s="58" t="str">
        <x:v>GBU000076F0001</x:v>
      </x:c>
      <x:c r="E123" s="57" t="str">
        <x:v>Girls 13+</x:v>
      </x:c>
      <x:c r="F123" s="57" t="str">
        <x:v>Color Cosmetics</x:v>
      </x:c>
      <x:c r="G123" s="57" t="str">
        <x:v>Eyes</x:v>
      </x:c>
      <x:c r="H123" s="60" t="str">
        <x:f>IF(I123&gt;0,"Да","Нет")</x:f>
        <x:v>Да</x:v>
      </x:c>
      <x:c r="I123" s="61" t="n">
        <x:v>1</x:v>
      </x:c>
    </x:row>
    <x:row r="124">
      <x:c r="A124" s="58" t="str">
        <x:v>GBU000076-4</x:v>
      </x:c>
      <x:c r="B124" s="62" t="str">
        <x:v>Лайнер для глаз GBU000076 розовый</x:v>
      </x:c>
      <x:c r="C124" s="58" t="str">
        <x:v>GBU000076</x:v>
      </x:c>
      <x:c r="D124" s="58" t="str">
        <x:v>GBU000076F0003</x:v>
      </x:c>
      <x:c r="E124" s="57" t="str">
        <x:v>Girls 13+</x:v>
      </x:c>
      <x:c r="F124" s="57" t="str">
        <x:v>Color Cosmetics</x:v>
      </x:c>
      <x:c r="G124" s="57" t="str">
        <x:v>Eyes</x:v>
      </x:c>
      <x:c r="H124" s="60" t="str">
        <x:f>IF(I124&gt;0,"Да","Нет")</x:f>
        <x:v>Да</x:v>
      </x:c>
      <x:c r="I124" s="61" t="n">
        <x:v>1</x:v>
      </x:c>
    </x:row>
    <x:row r="125">
      <x:c r="A125" s="58" t="str">
        <x:v>GBU000076-5</x:v>
      </x:c>
      <x:c r="B125" s="62" t="str">
        <x:v>Лайнер для глаз GBU000076 синий</x:v>
      </x:c>
      <x:c r="C125" s="58" t="str">
        <x:v>GBU000076</x:v>
      </x:c>
      <x:c r="D125" s="58" t="str">
        <x:v>GBU000076F0004</x:v>
      </x:c>
      <x:c r="E125" s="57" t="str">
        <x:v>Girls 13+</x:v>
      </x:c>
      <x:c r="F125" s="57" t="str">
        <x:v>Color Cosmetics</x:v>
      </x:c>
      <x:c r="G125" s="57" t="str">
        <x:v>Eyes</x:v>
      </x:c>
      <x:c r="H125" s="60" t="str">
        <x:f>IF(I125&gt;0,"Да","Нет")</x:f>
        <x:v>Да</x:v>
      </x:c>
      <x:c r="I125" s="61" t="n">
        <x:v>1</x:v>
      </x:c>
    </x:row>
    <x:row r="126">
      <x:c r="A126" s="58" t="str">
        <x:v>GBU000077-1</x:v>
      </x:c>
      <x:c r="B126" s="62" t="str">
        <x:v>Румяна GBU000077 ярко-розовый</x:v>
      </x:c>
      <x:c r="C126" s="58" t="str">
        <x:v>GBU000077</x:v>
      </x:c>
      <x:c r="D126" s="58" t="str">
        <x:v>GBU000077F0004</x:v>
      </x:c>
      <x:c r="E126" s="57" t="str">
        <x:v>Girls 13+</x:v>
      </x:c>
      <x:c r="F126" s="57" t="str">
        <x:v>Color Cosmetics</x:v>
      </x:c>
      <x:c r="G126" s="57" t="str">
        <x:v>Face</x:v>
      </x:c>
      <x:c r="H126" s="60" t="str">
        <x:f>IF(I126&gt;0,"Да","Нет")</x:f>
        <x:v>Да</x:v>
      </x:c>
      <x:c r="I126" s="61" t="n">
        <x:v>1</x:v>
      </x:c>
    </x:row>
    <x:row r="127">
      <x:c r="A127" s="58" t="str">
        <x:v>GBU000077-2</x:v>
      </x:c>
      <x:c r="B127" s="62" t="str">
        <x:v>Румяна GBU000077 малиновый</x:v>
      </x:c>
      <x:c r="C127" s="58" t="str">
        <x:v>GBU000077</x:v>
      </x:c>
      <x:c r="D127" s="58" t="str">
        <x:v>GBU000077F0001</x:v>
      </x:c>
      <x:c r="E127" s="57" t="str">
        <x:v>Girls 13+</x:v>
      </x:c>
      <x:c r="F127" s="57" t="str">
        <x:v>Color Cosmetics</x:v>
      </x:c>
      <x:c r="G127" s="57" t="str">
        <x:v>Face</x:v>
      </x:c>
      <x:c r="H127" s="60" t="str">
        <x:f>IF(I127&gt;0,"Да","Нет")</x:f>
        <x:v>Да</x:v>
      </x:c>
      <x:c r="I127" s="61" t="n">
        <x:v>1</x:v>
      </x:c>
    </x:row>
    <x:row r="128">
      <x:c r="A128" s="58" t="str">
        <x:v>GBU000077-3</x:v>
      </x:c>
      <x:c r="B128" s="62" t="str">
        <x:v>Румяна GBU000077 светло-розовый</x:v>
      </x:c>
      <x:c r="C128" s="58" t="str">
        <x:v>GBU000077</x:v>
      </x:c>
      <x:c r="D128" s="58" t="str">
        <x:v>GBU000077F0003</x:v>
      </x:c>
      <x:c r="E128" s="57" t="str">
        <x:v>Girls 13+</x:v>
      </x:c>
      <x:c r="F128" s="57" t="str">
        <x:v>Color Cosmetics</x:v>
      </x:c>
      <x:c r="G128" s="57" t="str">
        <x:v>Face</x:v>
      </x:c>
      <x:c r="H128" s="60" t="str">
        <x:f>IF(I128&gt;0,"Да","Нет")</x:f>
        <x:v>Да</x:v>
      </x:c>
      <x:c r="I128" s="61" t="n">
        <x:v>1</x:v>
      </x:c>
    </x:row>
    <x:row r="129">
      <x:c r="A129" s="58" t="str">
        <x:v>GBU000077-4</x:v>
      </x:c>
      <x:c r="B129" s="62" t="str">
        <x:v>Румяна GBU000077 розовый/бежевый</x:v>
      </x:c>
      <x:c r="C129" s="58" t="str">
        <x:v>GBU000077</x:v>
      </x:c>
      <x:c r="D129" s="58" t="str">
        <x:v>GBU000077F0002</x:v>
      </x:c>
      <x:c r="E129" s="57" t="str">
        <x:v>Girls 13+</x:v>
      </x:c>
      <x:c r="F129" s="57" t="str">
        <x:v>Color Cosmetics</x:v>
      </x:c>
      <x:c r="G129" s="57" t="str">
        <x:v>Face</x:v>
      </x:c>
      <x:c r="H129" s="60" t="str">
        <x:f>IF(I129&gt;0,"Да","Нет")</x:f>
        <x:v>Да</x:v>
      </x:c>
      <x:c r="I129" s="61" t="n">
        <x:v>1</x:v>
      </x:c>
    </x:row>
    <x:row r="130">
      <x:c r="A130" s="58" t="str">
        <x:v>GBU000078-1</x:v>
      </x:c>
      <x:c r="B130" s="62" t="str">
        <x:v>Масло для губ GBU000078 ярко-розовый</x:v>
      </x:c>
      <x:c r="C130" s="58" t="str">
        <x:v>GBU000078</x:v>
      </x:c>
      <x:c r="D130" s="58" t="str">
        <x:v>GBU000078F0006</x:v>
      </x:c>
      <x:c r="E130" s="57" t="str">
        <x:v>Girls 13+</x:v>
      </x:c>
      <x:c r="F130" s="57" t="str">
        <x:v>Color Cosmetics</x:v>
      </x:c>
      <x:c r="G130" s="57" t="str">
        <x:v>Lips</x:v>
      </x:c>
      <x:c r="H130" s="60" t="str">
        <x:f>IF(I130&gt;0,"Да","Нет")</x:f>
        <x:v>Да</x:v>
      </x:c>
      <x:c r="I130" s="61" t="n">
        <x:v>1</x:v>
      </x:c>
    </x:row>
    <x:row r="131">
      <x:c r="A131" s="58" t="str">
        <x:v>GBU000078-2</x:v>
      </x:c>
      <x:c r="B131" s="62" t="str">
        <x:v>Масло для губ GBU000078 малиновый</x:v>
      </x:c>
      <x:c r="C131" s="58" t="str">
        <x:v>GBU000078</x:v>
      </x:c>
      <x:c r="D131" s="58" t="str">
        <x:v>GBU000078F0003</x:v>
      </x:c>
      <x:c r="E131" s="57" t="str">
        <x:v>Girls 13+</x:v>
      </x:c>
      <x:c r="F131" s="57" t="str">
        <x:v>Color Cosmetics</x:v>
      </x:c>
      <x:c r="G131" s="57" t="str">
        <x:v>Lips</x:v>
      </x:c>
      <x:c r="H131" s="60" t="str">
        <x:f>IF(I131&gt;0,"Да","Нет")</x:f>
        <x:v>Да</x:v>
      </x:c>
      <x:c r="I131" s="61" t="n">
        <x:v>1</x:v>
      </x:c>
    </x:row>
    <x:row r="132">
      <x:c r="A132" s="58" t="str">
        <x:v>GBU000078-3</x:v>
      </x:c>
      <x:c r="B132" s="62" t="str">
        <x:v>Масло для губ GBU000078 желтый</x:v>
      </x:c>
      <x:c r="C132" s="58" t="str">
        <x:v>GBU000078</x:v>
      </x:c>
      <x:c r="D132" s="58" t="str">
        <x:v>GBU000078F0001</x:v>
      </x:c>
      <x:c r="E132" s="57" t="str">
        <x:v>Girls 13+</x:v>
      </x:c>
      <x:c r="F132" s="57" t="str">
        <x:v>Color Cosmetics</x:v>
      </x:c>
      <x:c r="G132" s="57" t="str">
        <x:v>Lips</x:v>
      </x:c>
      <x:c r="H132" s="60" t="str">
        <x:f>IF(I132&gt;0,"Да","Нет")</x:f>
        <x:v>Да</x:v>
      </x:c>
      <x:c r="I132" s="61" t="n">
        <x:v>1</x:v>
      </x:c>
    </x:row>
    <x:row r="133">
      <x:c r="A133" s="58" t="str">
        <x:v>GBU000078-4</x:v>
      </x:c>
      <x:c r="B133" s="62" t="str">
        <x:v>Масло для губ GBU000078 зеленый</x:v>
      </x:c>
      <x:c r="C133" s="58" t="str">
        <x:v>GBU000078</x:v>
      </x:c>
      <x:c r="D133" s="58" t="str">
        <x:v>GBU000078F0002</x:v>
      </x:c>
      <x:c r="E133" s="57" t="str">
        <x:v>Girls 13+</x:v>
      </x:c>
      <x:c r="F133" s="57" t="str">
        <x:v>Color Cosmetics</x:v>
      </x:c>
      <x:c r="G133" s="57" t="str">
        <x:v>Lips</x:v>
      </x:c>
      <x:c r="H133" s="60" t="str">
        <x:f>IF(I133&gt;0,"Да","Нет")</x:f>
        <x:v>Да</x:v>
      </x:c>
      <x:c r="I133" s="61" t="n">
        <x:v>1</x:v>
      </x:c>
    </x:row>
    <x:row r="134">
      <x:c r="A134" s="58" t="str">
        <x:v>GBU000078-5</x:v>
      </x:c>
      <x:c r="B134" s="62" t="str">
        <x:v>Масло для губ GBU000078 синий</x:v>
      </x:c>
      <x:c r="C134" s="58" t="str">
        <x:v>GBU000078</x:v>
      </x:c>
      <x:c r="D134" s="58" t="str">
        <x:v>GBU000078F0005</x:v>
      </x:c>
      <x:c r="E134" s="57" t="str">
        <x:v>Girls 13+</x:v>
      </x:c>
      <x:c r="F134" s="57" t="str">
        <x:v>Color Cosmetics</x:v>
      </x:c>
      <x:c r="G134" s="57" t="str">
        <x:v>Lips</x:v>
      </x:c>
      <x:c r="H134" s="60" t="str">
        <x:f>IF(I134&gt;0,"Да","Нет")</x:f>
        <x:v>Да</x:v>
      </x:c>
      <x:c r="I134" s="61" t="n">
        <x:v>1</x:v>
      </x:c>
    </x:row>
    <x:row r="135">
      <x:c r="A135" s="58" t="str">
        <x:v>GBU000078-6</x:v>
      </x:c>
      <x:c r="B135" s="62" t="str">
        <x:v>Масло для губ GBU000078 прозрачный</x:v>
      </x:c>
      <x:c r="C135" s="58" t="str">
        <x:v>GBU000078</x:v>
      </x:c>
      <x:c r="D135" s="58" t="str">
        <x:v>GBU000078F0004</x:v>
      </x:c>
      <x:c r="E135" s="57" t="str">
        <x:v>Girls 13+</x:v>
      </x:c>
      <x:c r="F135" s="57" t="str">
        <x:v>Color Cosmetics</x:v>
      </x:c>
      <x:c r="G135" s="57" t="str">
        <x:v>Lips</x:v>
      </x:c>
      <x:c r="H135" s="60" t="str">
        <x:f>IF(I135&gt;0,"Да","Нет")</x:f>
        <x:v>Да</x:v>
      </x:c>
      <x:c r="I135" s="61" t="n">
        <x:v>1</x:v>
      </x:c>
    </x:row>
    <x:row r="136">
      <x:c r="A136" s="58" t="str">
        <x:v>GBU000079-1</x:v>
      </x:c>
      <x:c r="B136" s="62" t="str">
        <x:v>Контуринг GBU000079 коричневый</x:v>
      </x:c>
      <x:c r="C136" s="58" t="str">
        <x:v>GBU000079</x:v>
      </x:c>
      <x:c r="D136" s="58" t="str">
        <x:v>GBU000079F0001</x:v>
      </x:c>
      <x:c r="E136" s="57" t="str">
        <x:v>Girls 13+</x:v>
      </x:c>
      <x:c r="F136" s="57" t="str">
        <x:v>Color Cosmetics</x:v>
      </x:c>
      <x:c r="G136" s="57" t="str">
        <x:v>Face</x:v>
      </x:c>
      <x:c r="H136" s="60" t="str">
        <x:f>IF(I136&gt;0,"Да","Нет")</x:f>
        <x:v>Да</x:v>
      </x:c>
      <x:c r="I136" s="61" t="n">
        <x:v>1</x:v>
      </x:c>
    </x:row>
    <x:row r="137">
      <x:c r="A137" s="58" t="str">
        <x:v>GBU000079-2</x:v>
      </x:c>
      <x:c r="B137" s="62" t="str">
        <x:v>Контуринг GBU000079 темно-бежевый</x:v>
      </x:c>
      <x:c r="C137" s="58" t="str">
        <x:v>GBU000079</x:v>
      </x:c>
      <x:c r="D137" s="58" t="str">
        <x:v>GBU000079F0002</x:v>
      </x:c>
      <x:c r="E137" s="57" t="str">
        <x:v>Girls 13+</x:v>
      </x:c>
      <x:c r="F137" s="57" t="str">
        <x:v>Color Cosmetics</x:v>
      </x:c>
      <x:c r="G137" s="57" t="str">
        <x:v>Face</x:v>
      </x:c>
      <x:c r="H137" s="60" t="str">
        <x:f>IF(I137&gt;0,"Да","Нет")</x:f>
        <x:v>Да</x:v>
      </x:c>
      <x:c r="I137" s="61" t="n">
        <x:v>1</x:v>
      </x:c>
    </x:row>
    <x:row r="138">
      <x:c r="A138" s="58" t="str">
        <x:v>GBU000080-1</x:v>
      </x:c>
      <x:c r="B138" s="62" t="str">
        <x:v>Румяна GBU000080 ярко-розовый</x:v>
      </x:c>
      <x:c r="C138" s="58" t="str">
        <x:v>GBU000080</x:v>
      </x:c>
      <x:c r="D138" s="58" t="str">
        <x:v>GBU000080F0003</x:v>
      </x:c>
      <x:c r="E138" s="57" t="str">
        <x:v>Girls 13+</x:v>
      </x:c>
      <x:c r="F138" s="57" t="str">
        <x:v>Color Cosmetics</x:v>
      </x:c>
      <x:c r="G138" s="57" t="str">
        <x:v>Face</x:v>
      </x:c>
      <x:c r="H138" s="60" t="str">
        <x:f>IF(I138&gt;0,"Да","Нет")</x:f>
        <x:v>Да</x:v>
      </x:c>
      <x:c r="I138" s="61" t="n">
        <x:v>1</x:v>
      </x:c>
    </x:row>
    <x:row r="139">
      <x:c r="A139" s="58" t="str">
        <x:v>GBU000080-2</x:v>
      </x:c>
      <x:c r="B139" s="62" t="str">
        <x:v>Румяна GBU000080 малиновый</x:v>
      </x:c>
      <x:c r="C139" s="58" t="str">
        <x:v>GBU000080</x:v>
      </x:c>
      <x:c r="D139" s="58" t="str">
        <x:v>GBU000080F0001</x:v>
      </x:c>
      <x:c r="E139" s="57" t="str">
        <x:v>Girls 13+</x:v>
      </x:c>
      <x:c r="F139" s="57" t="str">
        <x:v>Color Cosmetics</x:v>
      </x:c>
      <x:c r="G139" s="57" t="str">
        <x:v>Face</x:v>
      </x:c>
      <x:c r="H139" s="60" t="str">
        <x:f>IF(I139&gt;0,"Да","Нет")</x:f>
        <x:v>Да</x:v>
      </x:c>
      <x:c r="I139" s="61" t="n">
        <x:v>1</x:v>
      </x:c>
    </x:row>
    <x:row r="140">
      <x:c r="A140" s="58" t="str">
        <x:v>GBU000080-3</x:v>
      </x:c>
      <x:c r="B140" s="62" t="str">
        <x:v>Румяна GBU000080 розовый/бежевый</x:v>
      </x:c>
      <x:c r="C140" s="58" t="str">
        <x:v>GBU000080</x:v>
      </x:c>
      <x:c r="D140" s="58" t="str">
        <x:v>GBU000080F0002</x:v>
      </x:c>
      <x:c r="E140" s="57" t="str">
        <x:v>Girls 13+</x:v>
      </x:c>
      <x:c r="F140" s="57" t="str">
        <x:v>Color Cosmetics</x:v>
      </x:c>
      <x:c r="G140" s="57" t="str">
        <x:v>Face</x:v>
      </x:c>
      <x:c r="H140" s="60" t="str">
        <x:f>IF(I140&gt;0,"Да","Нет")</x:f>
        <x:v>Да</x:v>
      </x:c>
      <x:c r="I140" s="61" t="n">
        <x:v>1</x:v>
      </x:c>
    </x:row>
    <x:row r="141">
      <x:c r="A141" s="58" t="str">
        <x:v>GBU000094-1</x:v>
      </x:c>
      <x:c r="B141" s="62" t="str">
        <x:v>Переводные татуировки GBU000094 голографический</x:v>
      </x:c>
      <x:c r="C141" s="58" t="str">
        <x:v>GBU000094</x:v>
      </x:c>
      <x:c r="D141" s="58" t="str">
        <x:v>GBU000094F0001</x:v>
      </x:c>
      <x:c r="E141" s="57" t="str">
        <x:v>Girls 13+</x:v>
      </x:c>
      <x:c r="F141" s="57" t="str">
        <x:v>Accessories Beauty</x:v>
      </x:c>
      <x:c r="G141" s="57" t="str">
        <x:v>Color cosmetic</x:v>
      </x:c>
      <x:c r="H141" s="60" t="str">
        <x:f>IF(I141&gt;0,"Да","Нет")</x:f>
        <x:v>Нет</x:v>
      </x:c>
      <x:c r="I141" s="61" t="n">
        <x:v>0</x:v>
      </x:c>
    </x:row>
    <x:row r="142">
      <x:c r="A142" s="58" t="str">
        <x:v>GBU000094-2</x:v>
      </x:c>
      <x:c r="B142" s="62" t="str">
        <x:v>Переводные татуировки GBU000094 золотистый</x:v>
      </x:c>
      <x:c r="C142" s="58" t="str">
        <x:v>GBU000094</x:v>
      </x:c>
      <x:c r="D142" s="58" t="str">
        <x:v>GBU000094F0002</x:v>
      </x:c>
      <x:c r="E142" s="57" t="str">
        <x:v>Girls 13+</x:v>
      </x:c>
      <x:c r="F142" s="57" t="str">
        <x:v>Accessories Beauty</x:v>
      </x:c>
      <x:c r="G142" s="57" t="str">
        <x:v>Color cosmetic</x:v>
      </x:c>
      <x:c r="H142" s="60" t="str">
        <x:f>IF(I142&gt;0,"Да","Нет")</x:f>
        <x:v>Нет</x:v>
      </x:c>
      <x:c r="I142" s="61" t="n">
        <x:v>0</x:v>
      </x:c>
    </x:row>
    <x:row r="143">
      <x:c r="A143" s="58" t="str">
        <x:v>GBU000095-1</x:v>
      </x:c>
      <x:c r="B143" s="62" t="str">
        <x:v>Спонж для макияжа GBU000095 серебристый</x:v>
      </x:c>
      <x:c r="C143" s="58" t="str">
        <x:v>GBU000095</x:v>
      </x:c>
      <x:c r="D143" s="58" t="str">
        <x:v>GBU000095F0001</x:v>
      </x:c>
      <x:c r="E143" s="57" t="str">
        <x:v>Girls 13+</x:v>
      </x:c>
      <x:c r="F143" s="57" t="str">
        <x:v>Accessories Beauty</x:v>
      </x:c>
      <x:c r="G143" s="57" t="str">
        <x:v>Color cosmetic</x:v>
      </x:c>
      <x:c r="H143" s="60" t="str">
        <x:f>IF(I143&gt;0,"Да","Нет")</x:f>
        <x:v>Нет</x:v>
      </x:c>
      <x:c r="I143" s="61" t="n">
        <x:v>0</x:v>
      </x:c>
    </x:row>
    <x:row r="144">
      <x:c r="A144" s="58" t="str">
        <x:v>GBU000099-1</x:v>
      </x:c>
      <x:c r="B144" s="62" t="str">
        <x:v>Наклейки для ногтей GBU000099 разноцветный</x:v>
      </x:c>
      <x:c r="C144" s="58" t="str">
        <x:v>GBU000099</x:v>
      </x:c>
      <x:c r="D144" s="58" t="str">
        <x:v>GBU000099F0001</x:v>
      </x:c>
      <x:c r="E144" s="57" t="str">
        <x:v>Girls 2-8</x:v>
      </x:c>
      <x:c r="F144" s="57" t="str">
        <x:v>Accessories Beauty</x:v>
      </x:c>
      <x:c r="G144" s="57" t="str">
        <x:v>Color cosmetic</x:v>
      </x:c>
      <x:c r="H144" s="60" t="str">
        <x:f>IF(I144&gt;0,"Да","Нет")</x:f>
        <x:v>Нет</x:v>
      </x:c>
      <x:c r="I144" s="61" t="n">
        <x:v>0</x:v>
      </x:c>
    </x:row>
    <x:row r="145">
      <x:c r="A145" s="58" t="str">
        <x:v>GBU000100-1</x:v>
      </x:c>
      <x:c r="B145" s="62" t="str">
        <x:v>Наклейки для ногтей GBU000100 разноцветный</x:v>
      </x:c>
      <x:c r="C145" s="58" t="str">
        <x:v>GBU000100</x:v>
      </x:c>
      <x:c r="D145" s="58" t="str">
        <x:v>GBU000100F0001</x:v>
      </x:c>
      <x:c r="E145" s="57" t="str">
        <x:v>Girls 2-8</x:v>
      </x:c>
      <x:c r="F145" s="57" t="str">
        <x:v>Accessories Beauty</x:v>
      </x:c>
      <x:c r="G145" s="57" t="str">
        <x:v>Color cosmetic</x:v>
      </x:c>
      <x:c r="H145" s="60" t="str">
        <x:f>IF(I145&gt;0,"Да","Нет")</x:f>
        <x:v>Нет</x:v>
      </x:c>
      <x:c r="I145" s="61" t="n">
        <x:v>0</x:v>
      </x:c>
    </x:row>
    <x:row r="146">
      <x:c r="A146" s="58" t="str">
        <x:v>GBU000101-1</x:v>
      </x:c>
      <x:c r="B146" s="62" t="str">
        <x:v>Наклейки для ногтей GBU000101 разноцветный</x:v>
      </x:c>
      <x:c r="C146" s="58" t="str">
        <x:v>GBU000101</x:v>
      </x:c>
      <x:c r="D146" s="58" t="str">
        <x:v>GBU000101F0001</x:v>
      </x:c>
      <x:c r="E146" s="57" t="str">
        <x:v>Girls 2-8</x:v>
      </x:c>
      <x:c r="F146" s="57" t="str">
        <x:v>Accessories Beauty</x:v>
      </x:c>
      <x:c r="G146" s="57" t="str">
        <x:v>Color cosmetic</x:v>
      </x:c>
      <x:c r="H146" s="60" t="str">
        <x:f>IF(I146&gt;0,"Да","Нет")</x:f>
        <x:v>Нет</x:v>
      </x:c>
      <x:c r="I146" s="61" t="n">
        <x:v>0</x:v>
      </x:c>
    </x:row>
    <x:row r="147">
      <x:c r="A147" s="58" t="str">
        <x:v>GBU000102-1</x:v>
      </x:c>
      <x:c r="B147" s="62" t="str">
        <x:v>Наклейки для ногтей GBU000102 разноцветный</x:v>
      </x:c>
      <x:c r="C147" s="58" t="str">
        <x:v>GBU000102</x:v>
      </x:c>
      <x:c r="D147" s="58" t="str">
        <x:v>GBU000102F0001</x:v>
      </x:c>
      <x:c r="E147" s="57" t="str">
        <x:v>Girls 2-8</x:v>
      </x:c>
      <x:c r="F147" s="57" t="str">
        <x:v>Accessories Beauty</x:v>
      </x:c>
      <x:c r="G147" s="57" t="str">
        <x:v>Color cosmetic</x:v>
      </x:c>
      <x:c r="H147" s="60" t="str">
        <x:f>IF(I147&gt;0,"Да","Нет")</x:f>
        <x:v>Нет</x:v>
      </x:c>
      <x:c r="I147" s="61" t="n">
        <x:v>0</x:v>
      </x:c>
    </x:row>
    <x:row r="148">
      <x:c r="A148" s="58" t="str">
        <x:v>GBU000103-1</x:v>
      </x:c>
      <x:c r="B148" s="62" t="str">
        <x:v>Наклейки для ногтей GBU000103 разноцветный</x:v>
      </x:c>
      <x:c r="C148" s="58" t="str">
        <x:v>GBU000103</x:v>
      </x:c>
      <x:c r="D148" s="58" t="str">
        <x:v>GBU000103F0001</x:v>
      </x:c>
      <x:c r="E148" s="57" t="str">
        <x:v>Girls 2-8</x:v>
      </x:c>
      <x:c r="F148" s="57" t="str">
        <x:v>Accessories Beauty</x:v>
      </x:c>
      <x:c r="G148" s="57" t="str">
        <x:v>Color cosmetic</x:v>
      </x:c>
      <x:c r="H148" s="60" t="str">
        <x:f>IF(I148&gt;0,"Да","Нет")</x:f>
        <x:v>Нет</x:v>
      </x:c>
      <x:c r="I148" s="61" t="n">
        <x:v>0</x:v>
      </x:c>
    </x:row>
    <x:row r="149">
      <x:c r="A149" s="58" t="str">
        <x:v>GBU000104-1</x:v>
      </x:c>
      <x:c r="B149" s="62" t="str">
        <x:v>Трафареты GBU000104 разноцветный</x:v>
      </x:c>
      <x:c r="C149" s="58" t="str">
        <x:v>GBU000104</x:v>
      </x:c>
      <x:c r="D149" s="58" t="str">
        <x:v>GBU000104F0001</x:v>
      </x:c>
      <x:c r="E149" s="57" t="str">
        <x:v>Girls 2-8</x:v>
      </x:c>
      <x:c r="F149" s="57" t="str">
        <x:v>Accessories Beauty</x:v>
      </x:c>
      <x:c r="G149" s="57" t="str">
        <x:v>Color cosmetic</x:v>
      </x:c>
      <x:c r="H149" s="60" t="str">
        <x:f>IF(I149&gt;0,"Да","Нет")</x:f>
        <x:v>Нет</x:v>
      </x:c>
      <x:c r="I149" s="61" t="n">
        <x:v>0</x:v>
      </x:c>
    </x:row>
    <x:row r="150">
      <x:c r="A150" s="58" t="str">
        <x:v>GBU000107-1</x:v>
      </x:c>
      <x:c r="B150" s="62" t="str">
        <x:v>Стразы для лица GBU000107 разноцветный</x:v>
      </x:c>
      <x:c r="C150" s="58" t="str">
        <x:v>GBU000107</x:v>
      </x:c>
      <x:c r="D150" s="58" t="str">
        <x:v>GBU000107F0001</x:v>
      </x:c>
      <x:c r="E150" s="57" t="str">
        <x:v>Girls 13+</x:v>
      </x:c>
      <x:c r="F150" s="57" t="str">
        <x:v>Accessories Beauty</x:v>
      </x:c>
      <x:c r="G150" s="57" t="str">
        <x:v>Color cosmetic</x:v>
      </x:c>
      <x:c r="H150" s="60" t="str">
        <x:f>IF(I150&gt;0,"Да","Нет")</x:f>
        <x:v>Нет</x:v>
      </x:c>
      <x:c r="I150" s="61" t="n">
        <x:v>0</x:v>
      </x:c>
    </x:row>
    <x:row r="151">
      <x:c r="A151" s="58" t="str">
        <x:v>GBU000108-1</x:v>
      </x:c>
      <x:c r="B151" s="62" t="str">
        <x:v>Стразы для лица GBU000108 серебристый</x:v>
      </x:c>
      <x:c r="C151" s="58" t="str">
        <x:v>GBU000108</x:v>
      </x:c>
      <x:c r="D151" s="58" t="str">
        <x:v>GBU000108F0001</x:v>
      </x:c>
      <x:c r="E151" s="57" t="str">
        <x:v>Girls 13+</x:v>
      </x:c>
      <x:c r="F151" s="57" t="str">
        <x:v>Accessories Beauty</x:v>
      </x:c>
      <x:c r="G151" s="57" t="str">
        <x:v>Color cosmetic</x:v>
      </x:c>
      <x:c r="H151" s="60" t="str">
        <x:f>IF(I151&gt;0,"Да","Нет")</x:f>
        <x:v>Нет</x:v>
      </x:c>
      <x:c r="I151" s="61" t="n">
        <x:v>0</x:v>
      </x:c>
    </x:row>
    <x:row r="152">
      <x:c r="A152" s="58" t="str">
        <x:v>GBU000109-1</x:v>
      </x:c>
      <x:c r="B152" s="62" t="str">
        <x:v>Переводные татуировки GBU000109 разноцветный</x:v>
      </x:c>
      <x:c r="C152" s="58" t="str">
        <x:v>GBU000109</x:v>
      </x:c>
      <x:c r="D152" s="58" t="str">
        <x:v>GBU000109F0001</x:v>
      </x:c>
      <x:c r="E152" s="57" t="str">
        <x:v>Girls 13+</x:v>
      </x:c>
      <x:c r="F152" s="57" t="str">
        <x:v>Accessories Beauty</x:v>
      </x:c>
      <x:c r="G152" s="57" t="str">
        <x:v>Color cosmetic</x:v>
      </x:c>
      <x:c r="H152" s="60" t="str">
        <x:f>IF(I152&gt;0,"Да","Нет")</x:f>
        <x:v>Нет</x:v>
      </x:c>
      <x:c r="I152" s="61" t="n">
        <x:v>0</x:v>
      </x:c>
    </x:row>
    <x:row r="153">
      <x:c r="A153" s="58" t="str">
        <x:v>GBU000110-1</x:v>
      </x:c>
      <x:c r="B153" s="62" t="str">
        <x:v>Переводные татуировки GBU000110 разноцветный</x:v>
      </x:c>
      <x:c r="C153" s="58" t="str">
        <x:v>GBU000110</x:v>
      </x:c>
      <x:c r="D153" s="58" t="str">
        <x:v>GBU000110F0001</x:v>
      </x:c>
      <x:c r="E153" s="57" t="str">
        <x:v>Girls 13+</x:v>
      </x:c>
      <x:c r="F153" s="57" t="str">
        <x:v>Accessories Beauty</x:v>
      </x:c>
      <x:c r="G153" s="57" t="str">
        <x:v>Color cosmetic</x:v>
      </x:c>
      <x:c r="H153" s="60" t="str">
        <x:f>IF(I153&gt;0,"Да","Нет")</x:f>
        <x:v>Нет</x:v>
      </x:c>
      <x:c r="I153" s="61" t="n">
        <x:v>0</x:v>
      </x:c>
    </x:row>
    <x:row r="154">
      <x:c r="A154" s="58" t="str">
        <x:v>GBU000111-1</x:v>
      </x:c>
      <x:c r="B154" s="62" t="str">
        <x:v>Переводные татуировки GBU000111 разноцветный</x:v>
      </x:c>
      <x:c r="C154" s="58" t="str">
        <x:v>GBU000111</x:v>
      </x:c>
      <x:c r="D154" s="58" t="str">
        <x:v>GBU000111F0001</x:v>
      </x:c>
      <x:c r="E154" s="57" t="str">
        <x:v>Girls 13+</x:v>
      </x:c>
      <x:c r="F154" s="57" t="str">
        <x:v>Accessories Beauty</x:v>
      </x:c>
      <x:c r="G154" s="57" t="str">
        <x:v>Color cosmetic</x:v>
      </x:c>
      <x:c r="H154" s="60" t="str">
        <x:f>IF(I154&gt;0,"Да","Нет")</x:f>
        <x:v>Нет</x:v>
      </x:c>
      <x:c r="I154" s="61" t="n">
        <x:v>0</x:v>
      </x:c>
    </x:row>
    <x:row r="155">
      <x:c r="A155" s="58" t="str">
        <x:v>GBU000112-1</x:v>
      </x:c>
      <x:c r="B155" s="62" t="str">
        <x:v>Переводные татуировки GBU000112 разноцветный</x:v>
      </x:c>
      <x:c r="C155" s="58" t="str">
        <x:v>GBU000112</x:v>
      </x:c>
      <x:c r="D155" s="58" t="str">
        <x:v>GBU000112F0001</x:v>
      </x:c>
      <x:c r="E155" s="57" t="str">
        <x:v>Girls 13+</x:v>
      </x:c>
      <x:c r="F155" s="57" t="str">
        <x:v>Accessories Beauty</x:v>
      </x:c>
      <x:c r="G155" s="57" t="str">
        <x:v>Color cosmetic</x:v>
      </x:c>
      <x:c r="H155" s="60" t="str">
        <x:f>IF(I155&gt;0,"Да","Нет")</x:f>
        <x:v>Нет</x:v>
      </x:c>
      <x:c r="I155" s="61" t="n">
        <x:v>0</x:v>
      </x:c>
    </x:row>
    <x:row r="156">
      <x:c r="A156" s="58" t="str">
        <x:v>GBU000113-1</x:v>
      </x:c>
      <x:c r="B156" s="62" t="str">
        <x:v>Переводные татуировки GBU000113 золотистый</x:v>
      </x:c>
      <x:c r="C156" s="58" t="str">
        <x:v>GBU000113</x:v>
      </x:c>
      <x:c r="D156" s="58" t="str">
        <x:v>GBU000113F0001</x:v>
      </x:c>
      <x:c r="E156" s="57" t="str">
        <x:v>Girls 13+</x:v>
      </x:c>
      <x:c r="F156" s="57" t="str">
        <x:v>Accessories Beauty</x:v>
      </x:c>
      <x:c r="G156" s="57" t="str">
        <x:v>Color cosmetic</x:v>
      </x:c>
      <x:c r="H156" s="60" t="str">
        <x:f>IF(I156&gt;0,"Да","Нет")</x:f>
        <x:v>Нет</x:v>
      </x:c>
      <x:c r="I156" s="61" t="n">
        <x:v>0</x:v>
      </x:c>
    </x:row>
  </x:sheetData>
  <x:mergeCells>
    <x:mergeCell ref="A1:I1"/>
    <x:mergeCell ref="A2:I2"/>
  </x:mergeCells>
  <x:conditionalFormatting sqref="H4:H156">
    <x:cfRule type="containsText" dxfId="0" priority="1" operator="containsText" text="Да"/>
    <x:cfRule type="containsText" dxfId="1" priority="2" operator="containsText" text="Нет"/>
  </x:conditionalFormatting>
  <x:pageMargins left="0.7" right="0.7" top="0.75" bottom="0.75" header="0.3" footer="0.3"/>
  <x:tableParts count="1">
    <x:tablePart xmlns:r="http://schemas.openxmlformats.org/officeDocument/2006/relationships" r:id="R7f35c43cf57c48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0" hidden="0" customWidth="1"/>
    <x:col min="4" max="4" width="16" hidden="0" customWidth="1"/>
    <x:col min="5" max="5" width="14" hidden="0" customWidth="1"/>
    <x:col min="6" max="6" width="24" hidden="0" customWidth="1"/>
    <x:col min="7" max="7" width="12" hidden="0" customWidth="1"/>
    <x:col min="8" max="8" width="14" hidden="0" customWidth="1"/>
    <x:col min="9" max="9" width="14" hidden="0" customWidth="1"/>
    <x:col min="10" max="10" width="17" hidden="0" customWidth="1"/>
    <x:col min="11" max="11" width="14" hidden="0" customWidth="1"/>
    <x:col min="12" max="12" width="21" hidden="0" customWidth="1"/>
    <x:col min="13" max="13" width="17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5" hidden="0" customWidth="1"/>
    <x:col min="19" max="19" width="20" hidden="0" customWidth="1"/>
  </x:cols>
  <x:sheetData>
    <x:row r="1" ht="30" customHeight="1">
      <x:c r="A1" s="103" t="str">
        <x:v>Beauty — состояние офферов по артикулам CC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  <x:c r="O1" s="103"/>
      <x:c r="P1" s="103"/>
      <x:c r="Q1" s="103"/>
      <x:c r="R1" s="103"/>
      <x:c r="S1" s="103"/>
    </x:row>
    <x:row r="2">
      <x:c r="A2" s="104" t="str">
        <x:v>Production-срез 2026-08-19 13:34 МСК · Цена только по российским e-commerce кластерам, ₽ · Источники: PIM + Offers + Catalog Cache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</x:row>
    <x:row r="3" ht="40" customHeight="1">
      <x:c r="A3" s="106" t="str">
        <x:v>Артикул CC</x:v>
      </x:c>
      <x:c r="B3" s="106" t="str">
        <x:v>Наименование</x:v>
      </x:c>
      <x:c r="C3" s="106" t="str">
        <x:v>Артикул SKU</x:v>
      </x:c>
      <x:c r="D3" s="106" t="str">
        <x:v>Модель</x:v>
      </x:c>
      <x:c r="E3" s="106" t="str">
        <x:v>Статус PIM</x:v>
      </x:c>
      <x:c r="F3" s="106" t="str">
        <x:v>Состояние оффера</x:v>
      </x:c>
      <x:c r="G3" s="106" t="str">
        <x:v>Цена есть</x:v>
      </x:c>
      <x:c r="H3" s="106" t="str">
        <x:v>Мин. цена РФ, ₽</x:v>
      </x:c>
      <x:c r="I3" s="106" t="str">
        <x:v>Макс. цена РФ, ₽</x:v>
      </x:c>
      <x:c r="J3" s="106" t="str">
        <x:v>Регионов РФ с ценой</x:v>
      </x:c>
      <x:c r="K3" s="106" t="str">
        <x:v>Остаток есть</x:v>
      </x:c>
      <x:c r="L3" s="106" t="str">
        <x:v>Суммарный остаток (raw)</x:v>
      </x:c>
      <x:c r="M3" s="106" t="str">
        <x:v>Точек с остатком</x:v>
      </x:c>
      <x:c r="N3" s="106" t="str">
        <x:v>Регионов с остатком</x:v>
      </x:c>
      <x:c r="O3" s="106" t="str">
        <x:v>Доступных регионов</x:v>
      </x:c>
      <x:c r="P3" s="106" t="str">
        <x:v>Региональных offers</x:v>
      </x:c>
      <x:c r="Q3" s="106" t="str">
        <x:v>Дата начала продаж</x:v>
      </x:c>
      <x:c r="R3" s="106" t="str">
        <x:v>Обновление offer, МСК</x:v>
      </x:c>
      <x:c r="S3" s="106" t="str">
        <x:v>Модель в Offers</x:v>
      </x:c>
    </x:row>
    <x:row r="4">
      <x:c r="A4" s="108" t="str">
        <x:v>GBU000001-1</x:v>
      </x:c>
      <x:c r="B4" s="107" t="str">
        <x:v>Лайнер для губ GBU000001 малиновый</x:v>
      </x:c>
      <x:c r="C4" s="108" t="str">
        <x:v>GBU000001F0001</x:v>
      </x:c>
      <x:c r="D4" s="108" t="str">
        <x:v>GBU000001</x:v>
      </x:c>
      <x:c r="E4" s="112" t="str">
        <x:v>CHECK</x:v>
      </x:c>
      <x:c r="F4" s="112" t="str">
        <x:f>IF(P4=0,"Нет offer",IF(AND(J4&gt;0,N4&gt;0),"Цена + остаток",IF(J4&gt;0,"Цена, без остатка",IF(N4&gt;0,"Остаток без цены","Нет цены и остатка"))))</x:f>
        <x:v>Цена, без остатка</x:v>
      </x:c>
      <x:c r="G4" s="112" t="str">
        <x:f>IF(J4&gt;0,"Да","Нет")</x:f>
        <x:v>Да</x:v>
      </x:c>
      <x:c r="H4" s="109" t="n">
        <x:v>399</x:v>
      </x:c>
      <x:c r="I4" s="109" t="n">
        <x:v>439</x:v>
      </x:c>
      <x:c r="J4" s="109" t="n">
        <x:v>395</x:v>
      </x:c>
      <x:c r="K4" s="112" t="str">
        <x:f>IF(N4&gt;0,"Да","Нет")</x:f>
        <x:v>Нет</x:v>
      </x:c>
      <x:c r="L4" s="109" t="n">
        <x:v>0</x:v>
      </x:c>
      <x:c r="M4" s="109" t="n">
        <x:v>0</x:v>
      </x:c>
      <x:c r="N4" s="109" t="n">
        <x:v>0</x:v>
      </x:c>
      <x:c r="O4" s="109" t="n">
        <x:v>0</x:v>
      </x:c>
      <x:c r="P4" s="109" t="n">
        <x:v>396</x:v>
      </x:c>
      <x:c r="Q4" s="113" t="n">
        <x:v>46261</x:v>
      </x:c>
      <x:c r="R4" s="114" t="n">
        <x:v>46247.12866898148</x:v>
      </x:c>
      <x:c r="S4" s="108" t="str">
        <x:v>GBU000001</x:v>
      </x:c>
    </x:row>
    <x:row r="5">
      <x:c r="A5" s="108" t="str">
        <x:v>GBU000001-2</x:v>
      </x:c>
      <x:c r="B5" s="107" t="str">
        <x:v>Лайнер для губ GBU000001 ярко-розовый</x:v>
      </x:c>
      <x:c r="C5" s="108" t="str">
        <x:v>GBU000001F0003</x:v>
      </x:c>
      <x:c r="D5" s="108" t="str">
        <x:v>GBU000001</x:v>
      </x:c>
      <x:c r="E5" s="112" t="str">
        <x:v>CHECK</x:v>
      </x:c>
      <x:c r="F5" s="112" t="str">
        <x:f>IF(P5=0,"Нет offer",IF(AND(J5&gt;0,N5&gt;0),"Цена + остаток",IF(J5&gt;0,"Цена, без остатка",IF(N5&gt;0,"Остаток без цены","Нет цены и остатка"))))</x:f>
        <x:v>Цена, без остатка</x:v>
      </x:c>
      <x:c r="G5" s="112" t="str">
        <x:f>IF(J5&gt;0,"Да","Нет")</x:f>
        <x:v>Да</x:v>
      </x:c>
      <x:c r="H5" s="109" t="n">
        <x:v>399</x:v>
      </x:c>
      <x:c r="I5" s="109" t="n">
        <x:v>439</x:v>
      </x:c>
      <x:c r="J5" s="109" t="n">
        <x:v>395</x:v>
      </x:c>
      <x:c r="K5" s="112" t="str">
        <x:f>IF(N5&gt;0,"Да","Нет")</x:f>
        <x:v>Нет</x:v>
      </x:c>
      <x:c r="L5" s="109" t="n">
        <x:v>0</x:v>
      </x:c>
      <x:c r="M5" s="109" t="n">
        <x:v>0</x:v>
      </x:c>
      <x:c r="N5" s="109" t="n">
        <x:v>0</x:v>
      </x:c>
      <x:c r="O5" s="109" t="n">
        <x:v>0</x:v>
      </x:c>
      <x:c r="P5" s="109" t="n">
        <x:v>396</x:v>
      </x:c>
      <x:c r="Q5" s="113" t="n">
        <x:v>46261</x:v>
      </x:c>
      <x:c r="R5" s="114" t="n">
        <x:v>46247.12866898148</x:v>
      </x:c>
      <x:c r="S5" s="108" t="str">
        <x:v>GBU000001</x:v>
      </x:c>
    </x:row>
    <x:row r="6">
      <x:c r="A6" s="108" t="str">
        <x:v>GBU000001-3</x:v>
      </x:c>
      <x:c r="B6" s="107" t="str">
        <x:v>Лайнер для губ GBU000001 розовый/бежевый</x:v>
      </x:c>
      <x:c r="C6" s="108" t="str">
        <x:v>GBU000001F0002</x:v>
      </x:c>
      <x:c r="D6" s="108" t="str">
        <x:v>GBU000001</x:v>
      </x:c>
      <x:c r="E6" s="112" t="str">
        <x:v>CHECK</x:v>
      </x:c>
      <x:c r="F6" s="112" t="str">
        <x:f>IF(P6=0,"Нет offer",IF(AND(J6&gt;0,N6&gt;0),"Цена + остаток",IF(J6&gt;0,"Цена, без остатка",IF(N6&gt;0,"Остаток без цены","Нет цены и остатка"))))</x:f>
        <x:v>Цена, без остатка</x:v>
      </x:c>
      <x:c r="G6" s="112" t="str">
        <x:f>IF(J6&gt;0,"Да","Нет")</x:f>
        <x:v>Да</x:v>
      </x:c>
      <x:c r="H6" s="109" t="n">
        <x:v>399</x:v>
      </x:c>
      <x:c r="I6" s="109" t="n">
        <x:v>439</x:v>
      </x:c>
      <x:c r="J6" s="109" t="n">
        <x:v>395</x:v>
      </x:c>
      <x:c r="K6" s="112" t="str">
        <x:f>IF(N6&gt;0,"Да","Нет")</x:f>
        <x:v>Нет</x:v>
      </x:c>
      <x:c r="L6" s="109" t="n">
        <x:v>0</x:v>
      </x:c>
      <x:c r="M6" s="109" t="n">
        <x:v>0</x:v>
      </x:c>
      <x:c r="N6" s="109" t="n">
        <x:v>0</x:v>
      </x:c>
      <x:c r="O6" s="109" t="n">
        <x:v>0</x:v>
      </x:c>
      <x:c r="P6" s="109" t="n">
        <x:v>396</x:v>
      </x:c>
      <x:c r="Q6" s="113" t="n">
        <x:v>46261</x:v>
      </x:c>
      <x:c r="R6" s="114" t="n">
        <x:v>46247.12866898148</x:v>
      </x:c>
      <x:c r="S6" s="108" t="str">
        <x:v>GBU000001</x:v>
      </x:c>
    </x:row>
    <x:row r="7">
      <x:c r="A7" s="108" t="str">
        <x:v>GBU000002-1</x:v>
      </x:c>
      <x:c r="B7" s="107" t="str">
        <x:v>Бальзам для губ GBU000002 прозрачный</x:v>
      </x:c>
      <x:c r="C7" s="108" t="str">
        <x:v>GBU000002F0002</x:v>
      </x:c>
      <x:c r="D7" s="108" t="str">
        <x:v>GBU000002</x:v>
      </x:c>
      <x:c r="E7" s="112" t="str">
        <x:v>CHECK</x:v>
      </x:c>
      <x:c r="F7" s="112" t="str">
        <x:f>IF(P7=0,"Нет offer",IF(AND(J7&gt;0,N7&gt;0),"Цена + остаток",IF(J7&gt;0,"Цена, без остатка",IF(N7&gt;0,"Остаток без цены","Нет цены и остатка"))))</x:f>
        <x:v>Цена + остаток</x:v>
      </x:c>
      <x:c r="G7" s="112" t="str">
        <x:f>IF(J7&gt;0,"Да","Нет")</x:f>
        <x:v>Да</x:v>
      </x:c>
      <x:c r="H7" s="109" t="n">
        <x:v>399</x:v>
      </x:c>
      <x:c r="I7" s="109" t="n">
        <x:v>439</x:v>
      </x:c>
      <x:c r="J7" s="109" t="n">
        <x:v>395</x:v>
      </x:c>
      <x:c r="K7" s="112" t="str">
        <x:f>IF(N7&gt;0,"Да","Нет")</x:f>
        <x:v>Да</x:v>
      </x:c>
      <x:c r="L7" s="109" t="n">
        <x:v>438</x:v>
      </x:c>
      <x:c r="M7" s="109" t="n">
        <x:v>58</x:v>
      </x:c>
      <x:c r="N7" s="109" t="n">
        <x:v>37</x:v>
      </x:c>
      <x:c r="O7" s="109" t="n">
        <x:v>37</x:v>
      </x:c>
      <x:c r="P7" s="109" t="n">
        <x:v>396</x:v>
      </x:c>
      <x:c r="Q7" s="113" t="n">
        <x:v>46261</x:v>
      </x:c>
      <x:c r="R7" s="114" t="n">
        <x:v>46253.538773148146</x:v>
      </x:c>
      <x:c r="S7" s="108"/>
    </x:row>
    <x:row r="8">
      <x:c r="A8" s="108" t="str">
        <x:v>GBU000002-2</x:v>
      </x:c>
      <x:c r="B8" s="107" t="str">
        <x:v>Бальзам для губ GBU000002 светло-розовый</x:v>
      </x:c>
      <x:c r="C8" s="108" t="str">
        <x:v>GBU000002F0004</x:v>
      </x:c>
      <x:c r="D8" s="108" t="str">
        <x:v>GBU000002</x:v>
      </x:c>
      <x:c r="E8" s="112" t="str">
        <x:v>CHECK</x:v>
      </x:c>
      <x:c r="F8" s="112" t="str">
        <x:f>IF(P8=0,"Нет offer",IF(AND(J8&gt;0,N8&gt;0),"Цена + остаток",IF(J8&gt;0,"Цена, без остатка",IF(N8&gt;0,"Остаток без цены","Нет цены и остатка"))))</x:f>
        <x:v>Цена + остаток</x:v>
      </x:c>
      <x:c r="G8" s="112" t="str">
        <x:f>IF(J8&gt;0,"Да","Нет")</x:f>
        <x:v>Да</x:v>
      </x:c>
      <x:c r="H8" s="109" t="n">
        <x:v>399</x:v>
      </x:c>
      <x:c r="I8" s="109" t="n">
        <x:v>439</x:v>
      </x:c>
      <x:c r="J8" s="109" t="n">
        <x:v>395</x:v>
      </x:c>
      <x:c r="K8" s="112" t="str">
        <x:f>IF(N8&gt;0,"Да","Нет")</x:f>
        <x:v>Да</x:v>
      </x:c>
      <x:c r="L8" s="109" t="n">
        <x:v>444</x:v>
      </x:c>
      <x:c r="M8" s="109" t="n">
        <x:v>58</x:v>
      </x:c>
      <x:c r="N8" s="109" t="n">
        <x:v>37</x:v>
      </x:c>
      <x:c r="O8" s="109" t="n">
        <x:v>37</x:v>
      </x:c>
      <x:c r="P8" s="109" t="n">
        <x:v>396</x:v>
      </x:c>
      <x:c r="Q8" s="113" t="n">
        <x:v>46261</x:v>
      </x:c>
      <x:c r="R8" s="114" t="n">
        <x:v>46253.538773148146</x:v>
      </x:c>
      <x:c r="S8" s="108"/>
    </x:row>
    <x:row r="9">
      <x:c r="A9" s="108" t="str">
        <x:v>GBU000002-3</x:v>
      </x:c>
      <x:c r="B9" s="107" t="str">
        <x:v>Бальзам для губ GBU000002 розовый/бежевый</x:v>
      </x:c>
      <x:c r="C9" s="108" t="str">
        <x:v>GBU000002F0003</x:v>
      </x:c>
      <x:c r="D9" s="108" t="str">
        <x:v>GBU000002</x:v>
      </x:c>
      <x:c r="E9" s="112" t="str">
        <x:v>CHECK</x:v>
      </x:c>
      <x:c r="F9" s="112" t="str">
        <x:f>IF(P9=0,"Нет offer",IF(AND(J9&gt;0,N9&gt;0),"Цена + остаток",IF(J9&gt;0,"Цена, без остатка",IF(N9&gt;0,"Остаток без цены","Нет цены и остатка"))))</x:f>
        <x:v>Цена + остаток</x:v>
      </x:c>
      <x:c r="G9" s="112" t="str">
        <x:f>IF(J9&gt;0,"Да","Нет")</x:f>
        <x:v>Да</x:v>
      </x:c>
      <x:c r="H9" s="109" t="n">
        <x:v>399</x:v>
      </x:c>
      <x:c r="I9" s="109" t="n">
        <x:v>439</x:v>
      </x:c>
      <x:c r="J9" s="109" t="n">
        <x:v>395</x:v>
      </x:c>
      <x:c r="K9" s="112" t="str">
        <x:f>IF(N9&gt;0,"Да","Нет")</x:f>
        <x:v>Да</x:v>
      </x:c>
      <x:c r="L9" s="109" t="n">
        <x:v>452</x:v>
      </x:c>
      <x:c r="M9" s="109" t="n">
        <x:v>58</x:v>
      </x:c>
      <x:c r="N9" s="109" t="n">
        <x:v>37</x:v>
      </x:c>
      <x:c r="O9" s="109" t="n">
        <x:v>37</x:v>
      </x:c>
      <x:c r="P9" s="109" t="n">
        <x:v>396</x:v>
      </x:c>
      <x:c r="Q9" s="113" t="n">
        <x:v>46261</x:v>
      </x:c>
      <x:c r="R9" s="114" t="n">
        <x:v>46253.49668981481</x:v>
      </x:c>
      <x:c r="S9" s="108"/>
    </x:row>
    <x:row r="10">
      <x:c r="A10" s="108" t="str">
        <x:v>GBU000002-4</x:v>
      </x:c>
      <x:c r="B10" s="107" t="str">
        <x:v>Бальзам для губ GBU000002 малиновый</x:v>
      </x:c>
      <x:c r="C10" s="108" t="str">
        <x:v>GBU000002F0001</x:v>
      </x:c>
      <x:c r="D10" s="108" t="str">
        <x:v>GBU000002</x:v>
      </x:c>
      <x:c r="E10" s="112" t="str">
        <x:v>CHECK</x:v>
      </x:c>
      <x:c r="F10" s="112" t="str">
        <x:f>IF(P10=0,"Нет offer",IF(AND(J10&gt;0,N10&gt;0),"Цена + остаток",IF(J10&gt;0,"Цена, без остатка",IF(N10&gt;0,"Остаток без цены","Нет цены и остатка"))))</x:f>
        <x:v>Цена + остаток</x:v>
      </x:c>
      <x:c r="G10" s="112" t="str">
        <x:f>IF(J10&gt;0,"Да","Нет")</x:f>
        <x:v>Да</x:v>
      </x:c>
      <x:c r="H10" s="109" t="n">
        <x:v>399</x:v>
      </x:c>
      <x:c r="I10" s="109" t="n">
        <x:v>439</x:v>
      </x:c>
      <x:c r="J10" s="109" t="n">
        <x:v>395</x:v>
      </x:c>
      <x:c r="K10" s="112" t="str">
        <x:f>IF(N10&gt;0,"Да","Нет")</x:f>
        <x:v>Да</x:v>
      </x:c>
      <x:c r="L10" s="109" t="n">
        <x:v>441</x:v>
      </x:c>
      <x:c r="M10" s="109" t="n">
        <x:v>58</x:v>
      </x:c>
      <x:c r="N10" s="109" t="n">
        <x:v>37</x:v>
      </x:c>
      <x:c r="O10" s="109" t="n">
        <x:v>37</x:v>
      </x:c>
      <x:c r="P10" s="109" t="n">
        <x:v>396</x:v>
      </x:c>
      <x:c r="Q10" s="113" t="n">
        <x:v>46261</x:v>
      </x:c>
      <x:c r="R10" s="114" t="n">
        <x:v>46253.49668981481</x:v>
      </x:c>
      <x:c r="S10" s="108"/>
    </x:row>
    <x:row r="11">
      <x:c r="A11" s="108" t="str">
        <x:v>GBU000003-1</x:v>
      </x:c>
      <x:c r="B11" s="107" t="str">
        <x:v>Тени для век GBU000003 коричневый</x:v>
      </x:c>
      <x:c r="C11" s="108" t="str">
        <x:v>GBU000003F0002</x:v>
      </x:c>
      <x:c r="D11" s="108" t="str">
        <x:v>GBU000003</x:v>
      </x:c>
      <x:c r="E11" s="112" t="str">
        <x:v>CHECK</x:v>
      </x:c>
      <x:c r="F11" s="112" t="str">
        <x:f>IF(P11=0,"Нет offer",IF(AND(J11&gt;0,N11&gt;0),"Цена + остаток",IF(J11&gt;0,"Цена, без остатка",IF(N11&gt;0,"Остаток без цены","Нет цены и остатка"))))</x:f>
        <x:v>Цена + остаток</x:v>
      </x:c>
      <x:c r="G11" s="112" t="str">
        <x:f>IF(J11&gt;0,"Да","Нет")</x:f>
        <x:v>Да</x:v>
      </x:c>
      <x:c r="H11" s="109" t="n">
        <x:v>399</x:v>
      </x:c>
      <x:c r="I11" s="109" t="n">
        <x:v>439</x:v>
      </x:c>
      <x:c r="J11" s="109" t="n">
        <x:v>395</x:v>
      </x:c>
      <x:c r="K11" s="112" t="str">
        <x:f>IF(N11&gt;0,"Да","Нет")</x:f>
        <x:v>Да</x:v>
      </x:c>
      <x:c r="L11" s="109" t="n">
        <x:v>449</x:v>
      </x:c>
      <x:c r="M11" s="109" t="n">
        <x:v>58</x:v>
      </x:c>
      <x:c r="N11" s="109" t="n">
        <x:v>37</x:v>
      </x:c>
      <x:c r="O11" s="109" t="n">
        <x:v>37</x:v>
      </x:c>
      <x:c r="P11" s="109" t="n">
        <x:v>396</x:v>
      </x:c>
      <x:c r="Q11" s="113" t="n">
        <x:v>46261</x:v>
      </x:c>
      <x:c r="R11" s="114" t="n">
        <x:v>46253.49670138889</x:v>
      </x:c>
      <x:c r="S11" s="108"/>
    </x:row>
    <x:row r="12">
      <x:c r="A12" s="108" t="str">
        <x:v>GBU000003-2</x:v>
      </x:c>
      <x:c r="B12" s="107" t="str">
        <x:v>Тени для век GBU000003 светло-коричневый</x:v>
      </x:c>
      <x:c r="C12" s="108" t="str">
        <x:v>GBU000003F0004</x:v>
      </x:c>
      <x:c r="D12" s="108" t="str">
        <x:v>GBU000003</x:v>
      </x:c>
      <x:c r="E12" s="112" t="str">
        <x:v>CHECK</x:v>
      </x:c>
      <x:c r="F12" s="112" t="str">
        <x:f>IF(P12=0,"Нет offer",IF(AND(J12&gt;0,N12&gt;0),"Цена + остаток",IF(J12&gt;0,"Цена, без остатка",IF(N12&gt;0,"Остаток без цены","Нет цены и остатка"))))</x:f>
        <x:v>Цена + остаток</x:v>
      </x:c>
      <x:c r="G12" s="112" t="str">
        <x:f>IF(J12&gt;0,"Да","Нет")</x:f>
        <x:v>Да</x:v>
      </x:c>
      <x:c r="H12" s="109" t="n">
        <x:v>399</x:v>
      </x:c>
      <x:c r="I12" s="109" t="n">
        <x:v>439</x:v>
      </x:c>
      <x:c r="J12" s="109" t="n">
        <x:v>395</x:v>
      </x:c>
      <x:c r="K12" s="112" t="str">
        <x:f>IF(N12&gt;0,"Да","Нет")</x:f>
        <x:v>Да</x:v>
      </x:c>
      <x:c r="L12" s="109" t="n">
        <x:v>439</x:v>
      </x:c>
      <x:c r="M12" s="109" t="n">
        <x:v>58</x:v>
      </x:c>
      <x:c r="N12" s="109" t="n">
        <x:v>37</x:v>
      </x:c>
      <x:c r="O12" s="109" t="n">
        <x:v>37</x:v>
      </x:c>
      <x:c r="P12" s="109" t="n">
        <x:v>396</x:v>
      </x:c>
      <x:c r="Q12" s="113" t="n">
        <x:v>46261</x:v>
      </x:c>
      <x:c r="R12" s="114" t="n">
        <x:v>46253.49670138889</x:v>
      </x:c>
      <x:c r="S12" s="108"/>
    </x:row>
    <x:row r="13">
      <x:c r="A13" s="108" t="str">
        <x:v>GBU000003-3</x:v>
      </x:c>
      <x:c r="B13" s="107" t="str">
        <x:v>Тени для век GBU000003 бежевый</x:v>
      </x:c>
      <x:c r="C13" s="108" t="str">
        <x:v>GBU000003F0001</x:v>
      </x:c>
      <x:c r="D13" s="108" t="str">
        <x:v>GBU000003</x:v>
      </x:c>
      <x:c r="E13" s="112" t="str">
        <x:v>CHECK</x:v>
      </x:c>
      <x:c r="F13" s="112" t="str">
        <x:f>IF(P13=0,"Нет offer",IF(AND(J13&gt;0,N13&gt;0),"Цена + остаток",IF(J13&gt;0,"Цена, без остатка",IF(N13&gt;0,"Остаток без цены","Нет цены и остатка"))))</x:f>
        <x:v>Цена + остаток</x:v>
      </x:c>
      <x:c r="G13" s="112" t="str">
        <x:f>IF(J13&gt;0,"Да","Нет")</x:f>
        <x:v>Да</x:v>
      </x:c>
      <x:c r="H13" s="109" t="n">
        <x:v>399</x:v>
      </x:c>
      <x:c r="I13" s="109" t="n">
        <x:v>439</x:v>
      </x:c>
      <x:c r="J13" s="109" t="n">
        <x:v>395</x:v>
      </x:c>
      <x:c r="K13" s="112" t="str">
        <x:f>IF(N13&gt;0,"Да","Нет")</x:f>
        <x:v>Да</x:v>
      </x:c>
      <x:c r="L13" s="109" t="n">
        <x:v>440</x:v>
      </x:c>
      <x:c r="M13" s="109" t="n">
        <x:v>58</x:v>
      </x:c>
      <x:c r="N13" s="109" t="n">
        <x:v>37</x:v>
      </x:c>
      <x:c r="O13" s="109" t="n">
        <x:v>37</x:v>
      </x:c>
      <x:c r="P13" s="109" t="n">
        <x:v>396</x:v>
      </x:c>
      <x:c r="Q13" s="113" t="n">
        <x:v>46261</x:v>
      </x:c>
      <x:c r="R13" s="114" t="n">
        <x:v>46253.49668981481</x:v>
      </x:c>
      <x:c r="S13" s="108"/>
    </x:row>
    <x:row r="14">
      <x:c r="A14" s="108" t="str">
        <x:v>GBU000003-4</x:v>
      </x:c>
      <x:c r="B14" s="107" t="str">
        <x:v>Тени для век GBU000003 розовый</x:v>
      </x:c>
      <x:c r="C14" s="108" t="str">
        <x:v>GBU000003F0003</x:v>
      </x:c>
      <x:c r="D14" s="108" t="str">
        <x:v>GBU000003</x:v>
      </x:c>
      <x:c r="E14" s="112" t="str">
        <x:v>CHECK</x:v>
      </x:c>
      <x:c r="F14" s="112" t="str">
        <x:f>IF(P14=0,"Нет offer",IF(AND(J14&gt;0,N14&gt;0),"Цена + остаток",IF(J14&gt;0,"Цена, без остатка",IF(N14&gt;0,"Остаток без цены","Нет цены и остатка"))))</x:f>
        <x:v>Цена + остаток</x:v>
      </x:c>
      <x:c r="G14" s="112" t="str">
        <x:f>IF(J14&gt;0,"Да","Нет")</x:f>
        <x:v>Да</x:v>
      </x:c>
      <x:c r="H14" s="109" t="n">
        <x:v>399</x:v>
      </x:c>
      <x:c r="I14" s="109" t="n">
        <x:v>439</x:v>
      </x:c>
      <x:c r="J14" s="109" t="n">
        <x:v>395</x:v>
      </x:c>
      <x:c r="K14" s="112" t="str">
        <x:f>IF(N14&gt;0,"Да","Нет")</x:f>
        <x:v>Да</x:v>
      </x:c>
      <x:c r="L14" s="109" t="n">
        <x:v>442</x:v>
      </x:c>
      <x:c r="M14" s="109" t="n">
        <x:v>58</x:v>
      </x:c>
      <x:c r="N14" s="109" t="n">
        <x:v>37</x:v>
      </x:c>
      <x:c r="O14" s="109" t="n">
        <x:v>37</x:v>
      </x:c>
      <x:c r="P14" s="109" t="n">
        <x:v>396</x:v>
      </x:c>
      <x:c r="Q14" s="113" t="n">
        <x:v>46261</x:v>
      </x:c>
      <x:c r="R14" s="114" t="n">
        <x:v>46253.49667824074</x:v>
      </x:c>
      <x:c r="S14" s="108"/>
    </x:row>
    <x:row r="15">
      <x:c r="A15" s="108" t="str">
        <x:v>GBU000004-1</x:v>
      </x:c>
      <x:c r="B15" s="107" t="str">
        <x:v>Сумочка для косметики GBU000004 разноцветный</x:v>
      </x:c>
      <x:c r="C15" s="108" t="str">
        <x:v>GBU000004F0001</x:v>
      </x:c>
      <x:c r="D15" s="108" t="str">
        <x:v>GBU000004</x:v>
      </x:c>
      <x:c r="E15" s="112" t="str">
        <x:v>CHECK</x:v>
      </x:c>
      <x:c r="F15" s="112" t="str">
        <x:f>IF(P15=0,"Нет offer",IF(AND(J15&gt;0,N15&gt;0),"Цена + остаток",IF(J15&gt;0,"Цена, без остатка",IF(N15&gt;0,"Остаток без цены","Нет цены и остатка"))))</x:f>
        <x:v>Цена, без остатка</x:v>
      </x:c>
      <x:c r="G15" s="112" t="str">
        <x:f>IF(J15&gt;0,"Да","Нет")</x:f>
        <x:v>Да</x:v>
      </x:c>
      <x:c r="H15" s="109" t="n">
        <x:v>999</x:v>
      </x:c>
      <x:c r="I15" s="109" t="n">
        <x:v>1099</x:v>
      </x:c>
      <x:c r="J15" s="109" t="n">
        <x:v>395</x:v>
      </x:c>
      <x:c r="K15" s="112" t="str">
        <x:f>IF(N15&gt;0,"Да","Нет")</x:f>
        <x:v>Нет</x:v>
      </x:c>
      <x:c r="L15" s="109" t="n">
        <x:v>0</x:v>
      </x:c>
      <x:c r="M15" s="109" t="n">
        <x:v>0</x:v>
      </x:c>
      <x:c r="N15" s="109" t="n">
        <x:v>0</x:v>
      </x:c>
      <x:c r="O15" s="109" t="n">
        <x:v>0</x:v>
      </x:c>
      <x:c r="P15" s="109" t="n">
        <x:v>396</x:v>
      </x:c>
      <x:c r="Q15" s="113" t="n">
        <x:v>46261</x:v>
      </x:c>
      <x:c r="R15" s="114" t="n">
        <x:v>46247.12868055556</x:v>
      </x:c>
      <x:c r="S15" s="108" t="str">
        <x:v>GBU000004</x:v>
      </x:c>
    </x:row>
    <x:row r="16">
      <x:c r="A16" s="108" t="str">
        <x:v>GBU000005-1</x:v>
      </x:c>
      <x:c r="B16" s="107" t="str">
        <x:v>Масло для губ GBU000005 темно-малиновый</x:v>
      </x:c>
      <x:c r="C16" s="108" t="str">
        <x:v>GBU000005F0004</x:v>
      </x:c>
      <x:c r="D16" s="108" t="str">
        <x:v>GBU000005</x:v>
      </x:c>
      <x:c r="E16" s="112" t="str">
        <x:v>CHECK</x:v>
      </x:c>
      <x:c r="F16" s="112" t="str">
        <x:f>IF(P16=0,"Нет offer",IF(AND(J16&gt;0,N16&gt;0),"Цена + остаток",IF(J16&gt;0,"Цена, без остатка",IF(N16&gt;0,"Остаток без цены","Нет цены и остатка"))))</x:f>
        <x:v>Цена + остаток</x:v>
      </x:c>
      <x:c r="G16" s="112" t="str">
        <x:f>IF(J16&gt;0,"Да","Нет")</x:f>
        <x:v>Да</x:v>
      </x:c>
      <x:c r="H16" s="109" t="n">
        <x:v>499</x:v>
      </x:c>
      <x:c r="I16" s="109" t="n">
        <x:v>549</x:v>
      </x:c>
      <x:c r="J16" s="109" t="n">
        <x:v>395</x:v>
      </x:c>
      <x:c r="K16" s="112" t="str">
        <x:f>IF(N16&gt;0,"Да","Нет")</x:f>
        <x:v>Да</x:v>
      </x:c>
      <x:c r="L16" s="109" t="n">
        <x:v>439</x:v>
      </x:c>
      <x:c r="M16" s="109" t="n">
        <x:v>58</x:v>
      </x:c>
      <x:c r="N16" s="109" t="n">
        <x:v>37</x:v>
      </x:c>
      <x:c r="O16" s="109" t="n">
        <x:v>37</x:v>
      </x:c>
      <x:c r="P16" s="109" t="n">
        <x:v>396</x:v>
      </x:c>
      <x:c r="Q16" s="113" t="n">
        <x:v>46261</x:v>
      </x:c>
      <x:c r="R16" s="114" t="n">
        <x:v>46253.49668981481</x:v>
      </x:c>
      <x:c r="S16" s="108" t="str">
        <x:v>GBU000005</x:v>
      </x:c>
    </x:row>
    <x:row r="17">
      <x:c r="A17" s="108" t="str">
        <x:v>GBU000005-2</x:v>
      </x:c>
      <x:c r="B17" s="107" t="str">
        <x:v>Масло для губ GBU000005 малиновый</x:v>
      </x:c>
      <x:c r="C17" s="108" t="str">
        <x:v>GBU000005F0001</x:v>
      </x:c>
      <x:c r="D17" s="108" t="str">
        <x:v>GBU000005</x:v>
      </x:c>
      <x:c r="E17" s="112" t="str">
        <x:v>CHECK</x:v>
      </x:c>
      <x:c r="F17" s="112" t="str">
        <x:f>IF(P17=0,"Нет offer",IF(AND(J17&gt;0,N17&gt;0),"Цена + остаток",IF(J17&gt;0,"Цена, без остатка",IF(N17&gt;0,"Остаток без цены","Нет цены и остатка"))))</x:f>
        <x:v>Цена + остаток</x:v>
      </x:c>
      <x:c r="G17" s="112" t="str">
        <x:f>IF(J17&gt;0,"Да","Нет")</x:f>
        <x:v>Да</x:v>
      </x:c>
      <x:c r="H17" s="109" t="n">
        <x:v>499</x:v>
      </x:c>
      <x:c r="I17" s="109" t="n">
        <x:v>549</x:v>
      </x:c>
      <x:c r="J17" s="109" t="n">
        <x:v>395</x:v>
      </x:c>
      <x:c r="K17" s="112" t="str">
        <x:f>IF(N17&gt;0,"Да","Нет")</x:f>
        <x:v>Да</x:v>
      </x:c>
      <x:c r="L17" s="109" t="n">
        <x:v>453</x:v>
      </x:c>
      <x:c r="M17" s="109" t="n">
        <x:v>59</x:v>
      </x:c>
      <x:c r="N17" s="109" t="n">
        <x:v>38</x:v>
      </x:c>
      <x:c r="O17" s="109" t="n">
        <x:v>38</x:v>
      </x:c>
      <x:c r="P17" s="109" t="n">
        <x:v>396</x:v>
      </x:c>
      <x:c r="Q17" s="113" t="n">
        <x:v>46261</x:v>
      </x:c>
      <x:c r="R17" s="114" t="n">
        <x:v>46253.5203587963</x:v>
      </x:c>
      <x:c r="S17" s="108" t="str">
        <x:v>GBU000005</x:v>
      </x:c>
    </x:row>
    <x:row r="18">
      <x:c r="A18" s="108" t="str">
        <x:v>GBU000005-3</x:v>
      </x:c>
      <x:c r="B18" s="107" t="str">
        <x:v>Масло для губ GBU000005 светло-розовый</x:v>
      </x:c>
      <x:c r="C18" s="108" t="str">
        <x:v>GBU000005F0003</x:v>
      </x:c>
      <x:c r="D18" s="108" t="str">
        <x:v>GBU000005</x:v>
      </x:c>
      <x:c r="E18" s="112" t="str">
        <x:v>CHECK</x:v>
      </x:c>
      <x:c r="F18" s="112" t="str">
        <x:f>IF(P18=0,"Нет offer",IF(AND(J18&gt;0,N18&gt;0),"Цена + остаток",IF(J18&gt;0,"Цена, без остатка",IF(N18&gt;0,"Остаток без цены","Нет цены и остатка"))))</x:f>
        <x:v>Цена + остаток</x:v>
      </x:c>
      <x:c r="G18" s="112" t="str">
        <x:f>IF(J18&gt;0,"Да","Нет")</x:f>
        <x:v>Да</x:v>
      </x:c>
      <x:c r="H18" s="109" t="n">
        <x:v>499</x:v>
      </x:c>
      <x:c r="I18" s="109" t="n">
        <x:v>549</x:v>
      </x:c>
      <x:c r="J18" s="109" t="n">
        <x:v>395</x:v>
      </x:c>
      <x:c r="K18" s="112" t="str">
        <x:f>IF(N18&gt;0,"Да","Нет")</x:f>
        <x:v>Да</x:v>
      </x:c>
      <x:c r="L18" s="109" t="n">
        <x:v>449</x:v>
      </x:c>
      <x:c r="M18" s="109" t="n">
        <x:v>58</x:v>
      </x:c>
      <x:c r="N18" s="109" t="n">
        <x:v>37</x:v>
      </x:c>
      <x:c r="O18" s="109" t="n">
        <x:v>37</x:v>
      </x:c>
      <x:c r="P18" s="109" t="n">
        <x:v>396</x:v>
      </x:c>
      <x:c r="Q18" s="113" t="n">
        <x:v>46261</x:v>
      </x:c>
      <x:c r="R18" s="114" t="n">
        <x:v>46253.49668981481</x:v>
      </x:c>
      <x:c r="S18" s="108" t="str">
        <x:v>GBU000005</x:v>
      </x:c>
    </x:row>
    <x:row r="19">
      <x:c r="A19" s="108" t="str">
        <x:v>GBU000005-4</x:v>
      </x:c>
      <x:c r="B19" s="107" t="str">
        <x:v>Масло для губ GBU000005 прозрачный</x:v>
      </x:c>
      <x:c r="C19" s="108" t="str">
        <x:v>GBU000005F0002</x:v>
      </x:c>
      <x:c r="D19" s="108" t="str">
        <x:v>GBU000005</x:v>
      </x:c>
      <x:c r="E19" s="112" t="str">
        <x:v>CHECK</x:v>
      </x:c>
      <x:c r="F19" s="112" t="str">
        <x:f>IF(P19=0,"Нет offer",IF(AND(J19&gt;0,N19&gt;0),"Цена + остаток",IF(J19&gt;0,"Цена, без остатка",IF(N19&gt;0,"Остаток без цены","Нет цены и остатка"))))</x:f>
        <x:v>Цена + остаток</x:v>
      </x:c>
      <x:c r="G19" s="112" t="str">
        <x:f>IF(J19&gt;0,"Да","Нет")</x:f>
        <x:v>Да</x:v>
      </x:c>
      <x:c r="H19" s="109" t="n">
        <x:v>499</x:v>
      </x:c>
      <x:c r="I19" s="109" t="n">
        <x:v>549</x:v>
      </x:c>
      <x:c r="J19" s="109" t="n">
        <x:v>395</x:v>
      </x:c>
      <x:c r="K19" s="112" t="str">
        <x:f>IF(N19&gt;0,"Да","Нет")</x:f>
        <x:v>Да</x:v>
      </x:c>
      <x:c r="L19" s="109" t="n">
        <x:v>443</x:v>
      </x:c>
      <x:c r="M19" s="109" t="n">
        <x:v>58</x:v>
      </x:c>
      <x:c r="N19" s="109" t="n">
        <x:v>37</x:v>
      </x:c>
      <x:c r="O19" s="109" t="n">
        <x:v>37</x:v>
      </x:c>
      <x:c r="P19" s="109" t="n">
        <x:v>396</x:v>
      </x:c>
      <x:c r="Q19" s="113" t="n">
        <x:v>46261</x:v>
      </x:c>
      <x:c r="R19" s="114" t="n">
        <x:v>46253.49668981481</x:v>
      </x:c>
      <x:c r="S19" s="108" t="str">
        <x:v>GBU000005</x:v>
      </x:c>
    </x:row>
    <x:row r="20">
      <x:c r="A20" s="108" t="str">
        <x:v>GBU000006-1</x:v>
      </x:c>
      <x:c r="B20" s="107" t="str">
        <x:v>Набор кистей для макияжа GBU000006 белый</x:v>
      </x:c>
      <x:c r="C20" s="108" t="str">
        <x:v>GBU000006F0001</x:v>
      </x:c>
      <x:c r="D20" s="108" t="str">
        <x:v>GBU000006</x:v>
      </x:c>
      <x:c r="E20" s="112" t="str">
        <x:v>CHECK</x:v>
      </x:c>
      <x:c r="F20" s="112" t="str">
        <x:f>IF(P20=0,"Нет offer",IF(AND(J20&gt;0,N20&gt;0),"Цена + остаток",IF(J20&gt;0,"Цена, без остатка",IF(N20&gt;0,"Остаток без цены","Нет цены и остатка"))))</x:f>
        <x:v>Нет цены и остатка</x:v>
      </x:c>
      <x:c r="G20" s="112" t="str">
        <x:f>IF(J20&gt;0,"Да","Нет")</x:f>
        <x:v>Нет</x:v>
      </x:c>
      <x:c r="H20" s="109"/>
      <x:c r="I20" s="109"/>
      <x:c r="J20" s="109" t="n">
        <x:v>0</x:v>
      </x:c>
      <x:c r="K20" s="112" t="str">
        <x:f>IF(N20&gt;0,"Да","Нет")</x:f>
        <x:v>Нет</x:v>
      </x:c>
      <x:c r="L20" s="109" t="n">
        <x:v>0</x:v>
      </x:c>
      <x:c r="M20" s="109" t="n">
        <x:v>0</x:v>
      </x:c>
      <x:c r="N20" s="109" t="n">
        <x:v>0</x:v>
      </x:c>
      <x:c r="O20" s="109" t="n">
        <x:v>0</x:v>
      </x:c>
      <x:c r="P20" s="109" t="n">
        <x:v>396</x:v>
      </x:c>
      <x:c r="Q20" s="113" t="n">
        <x:v>46317</x:v>
      </x:c>
      <x:c r="R20" s="114" t="n">
        <x:v>46234.325</x:v>
      </x:c>
      <x:c r="S20" s="108" t="str">
        <x:v>GBU000006</x:v>
      </x:c>
    </x:row>
    <x:row r="21">
      <x:c r="A21" s="108" t="str">
        <x:v>GBU000007-1</x:v>
      </x:c>
      <x:c r="B21" s="107" t="str">
        <x:v>Тушь для ресниц GBU000007 черный</x:v>
      </x:c>
      <x:c r="C21" s="108" t="str">
        <x:v>GBU000007F0005</x:v>
      </x:c>
      <x:c r="D21" s="108" t="str">
        <x:v>GBU000007</x:v>
      </x:c>
      <x:c r="E21" s="112" t="str">
        <x:v>CHECK</x:v>
      </x:c>
      <x:c r="F21" s="112" t="str">
        <x:f>IF(P21=0,"Нет offer",IF(AND(J21&gt;0,N21&gt;0),"Цена + остаток",IF(J21&gt;0,"Цена, без остатка",IF(N21&gt;0,"Остаток без цены","Нет цены и остатка"))))</x:f>
        <x:v>Цена, без остатка</x:v>
      </x:c>
      <x:c r="G21" s="112" t="str">
        <x:f>IF(J21&gt;0,"Да","Нет")</x:f>
        <x:v>Да</x:v>
      </x:c>
      <x:c r="H21" s="109" t="n">
        <x:v>1299</x:v>
      </x:c>
      <x:c r="I21" s="109" t="n">
        <x:v>1429</x:v>
      </x:c>
      <x:c r="J21" s="109" t="n">
        <x:v>395</x:v>
      </x:c>
      <x:c r="K21" s="112" t="str">
        <x:f>IF(N21&gt;0,"Да","Нет")</x:f>
        <x:v>Нет</x:v>
      </x:c>
      <x:c r="L21" s="109" t="n">
        <x:v>0</x:v>
      </x:c>
      <x:c r="M21" s="109" t="n">
        <x:v>0</x:v>
      </x:c>
      <x:c r="N21" s="109" t="n">
        <x:v>0</x:v>
      </x:c>
      <x:c r="O21" s="109" t="n">
        <x:v>0</x:v>
      </x:c>
      <x:c r="P21" s="109" t="n">
        <x:v>396</x:v>
      </x:c>
      <x:c r="Q21" s="113" t="n">
        <x:v>46261</x:v>
      </x:c>
      <x:c r="R21" s="114" t="n">
        <x:v>46247.12868055556</x:v>
      </x:c>
      <x:c r="S21" s="108"/>
    </x:row>
    <x:row r="22">
      <x:c r="A22" s="108" t="str">
        <x:v>GBU000007-2</x:v>
      </x:c>
      <x:c r="B22" s="107" t="str">
        <x:v>Тушь для ресниц GBU000007 коричневый</x:v>
      </x:c>
      <x:c r="C22" s="108" t="str">
        <x:v>GBU000007F0002</x:v>
      </x:c>
      <x:c r="D22" s="108" t="str">
        <x:v>GBU000007</x:v>
      </x:c>
      <x:c r="E22" s="112" t="str">
        <x:v>CHECK</x:v>
      </x:c>
      <x:c r="F22" s="112" t="str">
        <x:f>IF(P22=0,"Нет offer",IF(AND(J22&gt;0,N22&gt;0),"Цена + остаток",IF(J22&gt;0,"Цена, без остатка",IF(N22&gt;0,"Остаток без цены","Нет цены и остатка"))))</x:f>
        <x:v>Цена, без остатка</x:v>
      </x:c>
      <x:c r="G22" s="112" t="str">
        <x:f>IF(J22&gt;0,"Да","Нет")</x:f>
        <x:v>Да</x:v>
      </x:c>
      <x:c r="H22" s="109" t="n">
        <x:v>1299</x:v>
      </x:c>
      <x:c r="I22" s="109" t="n">
        <x:v>1429</x:v>
      </x:c>
      <x:c r="J22" s="109" t="n">
        <x:v>395</x:v>
      </x:c>
      <x:c r="K22" s="112" t="str">
        <x:f>IF(N22&gt;0,"Да","Нет")</x:f>
        <x:v>Нет</x:v>
      </x:c>
      <x:c r="L22" s="109" t="n">
        <x:v>0</x:v>
      </x:c>
      <x:c r="M22" s="109" t="n">
        <x:v>0</x:v>
      </x:c>
      <x:c r="N22" s="109" t="n">
        <x:v>0</x:v>
      </x:c>
      <x:c r="O22" s="109" t="n">
        <x:v>0</x:v>
      </x:c>
      <x:c r="P22" s="109" t="n">
        <x:v>396</x:v>
      </x:c>
      <x:c r="Q22" s="113" t="n">
        <x:v>46261</x:v>
      </x:c>
      <x:c r="R22" s="114" t="n">
        <x:v>46247.12869212963</x:v>
      </x:c>
      <x:c r="S22" s="108"/>
    </x:row>
    <x:row r="23">
      <x:c r="A23" s="108" t="str">
        <x:v>GBU000007-3</x:v>
      </x:c>
      <x:c r="B23" s="107" t="str">
        <x:v>Тушь для ресниц GBU000007 розовый</x:v>
      </x:c>
      <x:c r="C23" s="108" t="str">
        <x:v>GBU000007F0003</x:v>
      </x:c>
      <x:c r="D23" s="108" t="str">
        <x:v>GBU000007</x:v>
      </x:c>
      <x:c r="E23" s="112" t="str">
        <x:v>CHECK</x:v>
      </x:c>
      <x:c r="F23" s="112" t="str">
        <x:f>IF(P23=0,"Нет offer",IF(AND(J23&gt;0,N23&gt;0),"Цена + остаток",IF(J23&gt;0,"Цена, без остатка",IF(N23&gt;0,"Остаток без цены","Нет цены и остатка"))))</x:f>
        <x:v>Цена, без остатка</x:v>
      </x:c>
      <x:c r="G23" s="112" t="str">
        <x:f>IF(J23&gt;0,"Да","Нет")</x:f>
        <x:v>Да</x:v>
      </x:c>
      <x:c r="H23" s="109" t="n">
        <x:v>1299</x:v>
      </x:c>
      <x:c r="I23" s="109" t="n">
        <x:v>1429</x:v>
      </x:c>
      <x:c r="J23" s="109" t="n">
        <x:v>395</x:v>
      </x:c>
      <x:c r="K23" s="112" t="str">
        <x:f>IF(N23&gt;0,"Да","Нет")</x:f>
        <x:v>Нет</x:v>
      </x:c>
      <x:c r="L23" s="109" t="n">
        <x:v>0</x:v>
      </x:c>
      <x:c r="M23" s="109" t="n">
        <x:v>0</x:v>
      </x:c>
      <x:c r="N23" s="109" t="n">
        <x:v>0</x:v>
      </x:c>
      <x:c r="O23" s="109" t="n">
        <x:v>0</x:v>
      </x:c>
      <x:c r="P23" s="109" t="n">
        <x:v>396</x:v>
      </x:c>
      <x:c r="Q23" s="113" t="n">
        <x:v>46261</x:v>
      </x:c>
      <x:c r="R23" s="114" t="n">
        <x:v>46247.12869212963</x:v>
      </x:c>
      <x:c r="S23" s="108"/>
    </x:row>
    <x:row r="24">
      <x:c r="A24" s="108" t="str">
        <x:v>GBU000007-4</x:v>
      </x:c>
      <x:c r="B24" s="107" t="str">
        <x:v>Тушь для ресниц GBU000007 синий</x:v>
      </x:c>
      <x:c r="C24" s="108" t="str">
        <x:v>GBU000007F0004</x:v>
      </x:c>
      <x:c r="D24" s="108" t="str">
        <x:v>GBU000007</x:v>
      </x:c>
      <x:c r="E24" s="112" t="str">
        <x:v>CHECK</x:v>
      </x:c>
      <x:c r="F24" s="112" t="str">
        <x:f>IF(P24=0,"Нет offer",IF(AND(J24&gt;0,N24&gt;0),"Цена + остаток",IF(J24&gt;0,"Цена, без остатка",IF(N24&gt;0,"Остаток без цены","Нет цены и остатка"))))</x:f>
        <x:v>Цена, без остатка</x:v>
      </x:c>
      <x:c r="G24" s="112" t="str">
        <x:f>IF(J24&gt;0,"Да","Нет")</x:f>
        <x:v>Да</x:v>
      </x:c>
      <x:c r="H24" s="109" t="n">
        <x:v>1299</x:v>
      </x:c>
      <x:c r="I24" s="109" t="n">
        <x:v>1429</x:v>
      </x:c>
      <x:c r="J24" s="109" t="n">
        <x:v>395</x:v>
      </x:c>
      <x:c r="K24" s="112" t="str">
        <x:f>IF(N24&gt;0,"Да","Нет")</x:f>
        <x:v>Нет</x:v>
      </x:c>
      <x:c r="L24" s="109" t="n">
        <x:v>0</x:v>
      </x:c>
      <x:c r="M24" s="109" t="n">
        <x:v>0</x:v>
      </x:c>
      <x:c r="N24" s="109" t="n">
        <x:v>0</x:v>
      </x:c>
      <x:c r="O24" s="109" t="n">
        <x:v>0</x:v>
      </x:c>
      <x:c r="P24" s="109" t="n">
        <x:v>396</x:v>
      </x:c>
      <x:c r="Q24" s="113" t="n">
        <x:v>46261</x:v>
      </x:c>
      <x:c r="R24" s="114" t="n">
        <x:v>46247.12868055556</x:v>
      </x:c>
      <x:c r="S24" s="108"/>
    </x:row>
    <x:row r="25">
      <x:c r="A25" s="108" t="str">
        <x:v>GBU000007-5</x:v>
      </x:c>
      <x:c r="B25" s="107" t="str">
        <x:v>Тушь для ресниц GBU000007 зеленый</x:v>
      </x:c>
      <x:c r="C25" s="108" t="str">
        <x:v>GBU000007F0001</x:v>
      </x:c>
      <x:c r="D25" s="108" t="str">
        <x:v>GBU000007</x:v>
      </x:c>
      <x:c r="E25" s="112" t="str">
        <x:v>CHECK</x:v>
      </x:c>
      <x:c r="F25" s="112" t="str">
        <x:f>IF(P25=0,"Нет offer",IF(AND(J25&gt;0,N25&gt;0),"Цена + остаток",IF(J25&gt;0,"Цена, без остатка",IF(N25&gt;0,"Остаток без цены","Нет цены и остатка"))))</x:f>
        <x:v>Цена, без остатка</x:v>
      </x:c>
      <x:c r="G25" s="112" t="str">
        <x:f>IF(J25&gt;0,"Да","Нет")</x:f>
        <x:v>Да</x:v>
      </x:c>
      <x:c r="H25" s="109" t="n">
        <x:v>1299</x:v>
      </x:c>
      <x:c r="I25" s="109" t="n">
        <x:v>1429</x:v>
      </x:c>
      <x:c r="J25" s="109" t="n">
        <x:v>395</x:v>
      </x:c>
      <x:c r="K25" s="112" t="str">
        <x:f>IF(N25&gt;0,"Да","Нет")</x:f>
        <x:v>Нет</x:v>
      </x:c>
      <x:c r="L25" s="109" t="n">
        <x:v>0</x:v>
      </x:c>
      <x:c r="M25" s="109" t="n">
        <x:v>0</x:v>
      </x:c>
      <x:c r="N25" s="109" t="n">
        <x:v>0</x:v>
      </x:c>
      <x:c r="O25" s="109" t="n">
        <x:v>0</x:v>
      </x:c>
      <x:c r="P25" s="109" t="n">
        <x:v>396</x:v>
      </x:c>
      <x:c r="Q25" s="113" t="n">
        <x:v>46261</x:v>
      </x:c>
      <x:c r="R25" s="114" t="n">
        <x:v>46247.12869212963</x:v>
      </x:c>
      <x:c r="S25" s="108"/>
    </x:row>
    <x:row r="26">
      <x:c r="A26" s="108" t="str">
        <x:v>GBU000008-1</x:v>
      </x:c>
      <x:c r="B26" s="107" t="str">
        <x:v>Блеск для губ GBU000008 розовый/бежевый</x:v>
      </x:c>
      <x:c r="C26" s="108" t="str">
        <x:v>GBU000008F0003</x:v>
      </x:c>
      <x:c r="D26" s="108" t="str">
        <x:v>GBU000008</x:v>
      </x:c>
      <x:c r="E26" s="112" t="str">
        <x:v>CHECK</x:v>
      </x:c>
      <x:c r="F26" s="112" t="str">
        <x:f>IF(P26=0,"Нет offer",IF(AND(J26&gt;0,N26&gt;0),"Цена + остаток",IF(J26&gt;0,"Цена, без остатка",IF(N26&gt;0,"Остаток без цены","Нет цены и остатка"))))</x:f>
        <x:v>Цена + остаток</x:v>
      </x:c>
      <x:c r="G26" s="112" t="str">
        <x:f>IF(J26&gt;0,"Да","Нет")</x:f>
        <x:v>Да</x:v>
      </x:c>
      <x:c r="H26" s="109" t="n">
        <x:v>499</x:v>
      </x:c>
      <x:c r="I26" s="109" t="n">
        <x:v>549</x:v>
      </x:c>
      <x:c r="J26" s="109" t="n">
        <x:v>395</x:v>
      </x:c>
      <x:c r="K26" s="112" t="str">
        <x:f>IF(N26&gt;0,"Да","Нет")</x:f>
        <x:v>Да</x:v>
      </x:c>
      <x:c r="L26" s="109" t="n">
        <x:v>633</x:v>
      </x:c>
      <x:c r="M26" s="109" t="n">
        <x:v>79</x:v>
      </x:c>
      <x:c r="N26" s="109" t="n">
        <x:v>48</x:v>
      </x:c>
      <x:c r="O26" s="109" t="n">
        <x:v>48</x:v>
      </x:c>
      <x:c r="P26" s="109" t="n">
        <x:v>396</x:v>
      </x:c>
      <x:c r="Q26" s="113" t="n">
        <x:v>46261</x:v>
      </x:c>
      <x:c r="R26" s="114" t="n">
        <x:v>46253.49670138889</x:v>
      </x:c>
      <x:c r="S26" s="108"/>
    </x:row>
    <x:row r="27">
      <x:c r="A27" s="108" t="str">
        <x:v>GBU000008-2</x:v>
      </x:c>
      <x:c r="B27" s="107" t="str">
        <x:v>Блеск для губ GBU000008 розовый</x:v>
      </x:c>
      <x:c r="C27" s="108" t="str">
        <x:v>GBU000008F0002</x:v>
      </x:c>
      <x:c r="D27" s="108" t="str">
        <x:v>GBU000008</x:v>
      </x:c>
      <x:c r="E27" s="112" t="str">
        <x:v>CHECK</x:v>
      </x:c>
      <x:c r="F27" s="112" t="str">
        <x:f>IF(P27=0,"Нет offer",IF(AND(J27&gt;0,N27&gt;0),"Цена + остаток",IF(J27&gt;0,"Цена, без остатка",IF(N27&gt;0,"Остаток без цены","Нет цены и остатка"))))</x:f>
        <x:v>Цена + остаток</x:v>
      </x:c>
      <x:c r="G27" s="112" t="str">
        <x:f>IF(J27&gt;0,"Да","Нет")</x:f>
        <x:v>Да</x:v>
      </x:c>
      <x:c r="H27" s="109" t="n">
        <x:v>499</x:v>
      </x:c>
      <x:c r="I27" s="109" t="n">
        <x:v>549</x:v>
      </x:c>
      <x:c r="J27" s="109" t="n">
        <x:v>395</x:v>
      </x:c>
      <x:c r="K27" s="112" t="str">
        <x:f>IF(N27&gt;0,"Да","Нет")</x:f>
        <x:v>Да</x:v>
      </x:c>
      <x:c r="L27" s="109" t="n">
        <x:v>628</x:v>
      </x:c>
      <x:c r="M27" s="109" t="n">
        <x:v>77</x:v>
      </x:c>
      <x:c r="N27" s="109" t="n">
        <x:v>48</x:v>
      </x:c>
      <x:c r="O27" s="109" t="n">
        <x:v>48</x:v>
      </x:c>
      <x:c r="P27" s="109" t="n">
        <x:v>396</x:v>
      </x:c>
      <x:c r="Q27" s="113" t="n">
        <x:v>46261</x:v>
      </x:c>
      <x:c r="R27" s="114" t="n">
        <x:v>46253.54662037037</x:v>
      </x:c>
      <x:c r="S27" s="108"/>
    </x:row>
    <x:row r="28">
      <x:c r="A28" s="108" t="str">
        <x:v>GBU000008-3</x:v>
      </x:c>
      <x:c r="B28" s="107" t="str">
        <x:v>Блеск для губ GBU000008 красный</x:v>
      </x:c>
      <x:c r="C28" s="108" t="str">
        <x:v>GBU000008F0001</x:v>
      </x:c>
      <x:c r="D28" s="108" t="str">
        <x:v>GBU000008</x:v>
      </x:c>
      <x:c r="E28" s="112" t="str">
        <x:v>CHECK</x:v>
      </x:c>
      <x:c r="F28" s="112" t="str">
        <x:f>IF(P28=0,"Нет offer",IF(AND(J28&gt;0,N28&gt;0),"Цена + остаток",IF(J28&gt;0,"Цена, без остатка",IF(N28&gt;0,"Остаток без цены","Нет цены и остатка"))))</x:f>
        <x:v>Цена + остаток</x:v>
      </x:c>
      <x:c r="G28" s="112" t="str">
        <x:f>IF(J28&gt;0,"Да","Нет")</x:f>
        <x:v>Да</x:v>
      </x:c>
      <x:c r="H28" s="109" t="n">
        <x:v>499</x:v>
      </x:c>
      <x:c r="I28" s="109" t="n">
        <x:v>549</x:v>
      </x:c>
      <x:c r="J28" s="109" t="n">
        <x:v>395</x:v>
      </x:c>
      <x:c r="K28" s="112" t="str">
        <x:f>IF(N28&gt;0,"Да","Нет")</x:f>
        <x:v>Да</x:v>
      </x:c>
      <x:c r="L28" s="109" t="n">
        <x:v>638</x:v>
      </x:c>
      <x:c r="M28" s="109" t="n">
        <x:v>79</x:v>
      </x:c>
      <x:c r="N28" s="109" t="n">
        <x:v>48</x:v>
      </x:c>
      <x:c r="O28" s="109" t="n">
        <x:v>48</x:v>
      </x:c>
      <x:c r="P28" s="109" t="n">
        <x:v>396</x:v>
      </x:c>
      <x:c r="Q28" s="113" t="n">
        <x:v>46261</x:v>
      </x:c>
      <x:c r="R28" s="114" t="n">
        <x:v>46253.49670138889</x:v>
      </x:c>
      <x:c r="S28" s="108"/>
    </x:row>
    <x:row r="29">
      <x:c r="A29" s="108" t="str">
        <x:v>GBU000009-1</x:v>
      </x:c>
      <x:c r="B29" s="107" t="str">
        <x:v>Тинт для губ GBU000009 малиновый</x:v>
      </x:c>
      <x:c r="C29" s="108" t="str">
        <x:v>GBU000009F0002</x:v>
      </x:c>
      <x:c r="D29" s="108" t="str">
        <x:v>GBU000009</x:v>
      </x:c>
      <x:c r="E29" s="112" t="str">
        <x:v>CHECK</x:v>
      </x:c>
      <x:c r="F29" s="112" t="str">
        <x:f>IF(P29=0,"Нет offer",IF(AND(J29&gt;0,N29&gt;0),"Цена + остаток",IF(J29&gt;0,"Цена, без остатка",IF(N29&gt;0,"Остаток без цены","Нет цены и остатка"))))</x:f>
        <x:v>Цена, без остатка</x:v>
      </x:c>
      <x:c r="G29" s="112" t="str">
        <x:f>IF(J29&gt;0,"Да","Нет")</x:f>
        <x:v>Да</x:v>
      </x:c>
      <x:c r="H29" s="109" t="n">
        <x:v>499</x:v>
      </x:c>
      <x:c r="I29" s="109" t="n">
        <x:v>549</x:v>
      </x:c>
      <x:c r="J29" s="109" t="n">
        <x:v>395</x:v>
      </x:c>
      <x:c r="K29" s="112" t="str">
        <x:f>IF(N29&gt;0,"Да","Нет")</x:f>
        <x:v>Нет</x:v>
      </x:c>
      <x:c r="L29" s="109" t="n">
        <x:v>0</x:v>
      </x:c>
      <x:c r="M29" s="109" t="n">
        <x:v>0</x:v>
      </x:c>
      <x:c r="N29" s="109" t="n">
        <x:v>0</x:v>
      </x:c>
      <x:c r="O29" s="109" t="n">
        <x:v>0</x:v>
      </x:c>
      <x:c r="P29" s="109" t="n">
        <x:v>396</x:v>
      </x:c>
      <x:c r="Q29" s="113" t="n">
        <x:v>46261</x:v>
      </x:c>
      <x:c r="R29" s="114" t="n">
        <x:v>46247.12866898148</x:v>
      </x:c>
      <x:c r="S29" s="108"/>
    </x:row>
    <x:row r="30">
      <x:c r="A30" s="108" t="str">
        <x:v>GBU000009-2</x:v>
      </x:c>
      <x:c r="B30" s="107" t="str">
        <x:v>Тинт для губ GBU000009 ярко-розовый</x:v>
      </x:c>
      <x:c r="C30" s="108" t="str">
        <x:v>GBU000009F0004</x:v>
      </x:c>
      <x:c r="D30" s="108" t="str">
        <x:v>GBU000009</x:v>
      </x:c>
      <x:c r="E30" s="112" t="str">
        <x:v>CHECK</x:v>
      </x:c>
      <x:c r="F30" s="112" t="str">
        <x:f>IF(P30=0,"Нет offer",IF(AND(J30&gt;0,N30&gt;0),"Цена + остаток",IF(J30&gt;0,"Цена, без остатка",IF(N30&gt;0,"Остаток без цены","Нет цены и остатка"))))</x:f>
        <x:v>Цена, без остатка</x:v>
      </x:c>
      <x:c r="G30" s="112" t="str">
        <x:f>IF(J30&gt;0,"Да","Нет")</x:f>
        <x:v>Да</x:v>
      </x:c>
      <x:c r="H30" s="109" t="n">
        <x:v>499</x:v>
      </x:c>
      <x:c r="I30" s="109" t="n">
        <x:v>549</x:v>
      </x:c>
      <x:c r="J30" s="109" t="n">
        <x:v>395</x:v>
      </x:c>
      <x:c r="K30" s="112" t="str">
        <x:f>IF(N30&gt;0,"Да","Нет")</x:f>
        <x:v>Нет</x:v>
      </x:c>
      <x:c r="L30" s="109" t="n">
        <x:v>0</x:v>
      </x:c>
      <x:c r="M30" s="109" t="n">
        <x:v>0</x:v>
      </x:c>
      <x:c r="N30" s="109" t="n">
        <x:v>0</x:v>
      </x:c>
      <x:c r="O30" s="109" t="n">
        <x:v>0</x:v>
      </x:c>
      <x:c r="P30" s="109" t="n">
        <x:v>396</x:v>
      </x:c>
      <x:c r="Q30" s="113" t="n">
        <x:v>46261</x:v>
      </x:c>
      <x:c r="R30" s="114" t="n">
        <x:v>46247.12869212963</x:v>
      </x:c>
      <x:c r="S30" s="108"/>
    </x:row>
    <x:row r="31">
      <x:c r="A31" s="108" t="str">
        <x:v>GBU000009-3</x:v>
      </x:c>
      <x:c r="B31" s="107" t="str">
        <x:v>Тинт для губ GBU000009 розовый/бежевый</x:v>
      </x:c>
      <x:c r="C31" s="108" t="str">
        <x:v>GBU000009F0003</x:v>
      </x:c>
      <x:c r="D31" s="108" t="str">
        <x:v>GBU000009</x:v>
      </x:c>
      <x:c r="E31" s="112" t="str">
        <x:v>CHECK</x:v>
      </x:c>
      <x:c r="F31" s="112" t="str">
        <x:f>IF(P31=0,"Нет offer",IF(AND(J31&gt;0,N31&gt;0),"Цена + остаток",IF(J31&gt;0,"Цена, без остатка",IF(N31&gt;0,"Остаток без цены","Нет цены и остатка"))))</x:f>
        <x:v>Цена, без остатка</x:v>
      </x:c>
      <x:c r="G31" s="112" t="str">
        <x:f>IF(J31&gt;0,"Да","Нет")</x:f>
        <x:v>Да</x:v>
      </x:c>
      <x:c r="H31" s="109" t="n">
        <x:v>499</x:v>
      </x:c>
      <x:c r="I31" s="109" t="n">
        <x:v>549</x:v>
      </x:c>
      <x:c r="J31" s="109" t="n">
        <x:v>395</x:v>
      </x:c>
      <x:c r="K31" s="112" t="str">
        <x:f>IF(N31&gt;0,"Да","Нет")</x:f>
        <x:v>Нет</x:v>
      </x:c>
      <x:c r="L31" s="109" t="n">
        <x:v>0</x:v>
      </x:c>
      <x:c r="M31" s="109" t="n">
        <x:v>0</x:v>
      </x:c>
      <x:c r="N31" s="109" t="n">
        <x:v>0</x:v>
      </x:c>
      <x:c r="O31" s="109" t="n">
        <x:v>0</x:v>
      </x:c>
      <x:c r="P31" s="109" t="n">
        <x:v>396</x:v>
      </x:c>
      <x:c r="Q31" s="113" t="n">
        <x:v>46261</x:v>
      </x:c>
      <x:c r="R31" s="114" t="n">
        <x:v>46247.12866898148</x:v>
      </x:c>
      <x:c r="S31" s="108"/>
    </x:row>
    <x:row r="32">
      <x:c r="A32" s="108" t="str">
        <x:v>GBU000009-4</x:v>
      </x:c>
      <x:c r="B32" s="107" t="str">
        <x:v>Тинт для губ GBU000009 красный</x:v>
      </x:c>
      <x:c r="C32" s="108" t="str">
        <x:v>GBU000009F0001</x:v>
      </x:c>
      <x:c r="D32" s="108" t="str">
        <x:v>GBU000009</x:v>
      </x:c>
      <x:c r="E32" s="112" t="str">
        <x:v>CHECK</x:v>
      </x:c>
      <x:c r="F32" s="112" t="str">
        <x:f>IF(P32=0,"Нет offer",IF(AND(J32&gt;0,N32&gt;0),"Цена + остаток",IF(J32&gt;0,"Цена, без остатка",IF(N32&gt;0,"Остаток без цены","Нет цены и остатка"))))</x:f>
        <x:v>Цена, без остатка</x:v>
      </x:c>
      <x:c r="G32" s="112" t="str">
        <x:f>IF(J32&gt;0,"Да","Нет")</x:f>
        <x:v>Да</x:v>
      </x:c>
      <x:c r="H32" s="109" t="n">
        <x:v>499</x:v>
      </x:c>
      <x:c r="I32" s="109" t="n">
        <x:v>549</x:v>
      </x:c>
      <x:c r="J32" s="109" t="n">
        <x:v>395</x:v>
      </x:c>
      <x:c r="K32" s="112" t="str">
        <x:f>IF(N32&gt;0,"Да","Нет")</x:f>
        <x:v>Нет</x:v>
      </x:c>
      <x:c r="L32" s="109" t="n">
        <x:v>0</x:v>
      </x:c>
      <x:c r="M32" s="109" t="n">
        <x:v>0</x:v>
      </x:c>
      <x:c r="N32" s="109" t="n">
        <x:v>0</x:v>
      </x:c>
      <x:c r="O32" s="109" t="n">
        <x:v>0</x:v>
      </x:c>
      <x:c r="P32" s="109" t="n">
        <x:v>396</x:v>
      </x:c>
      <x:c r="Q32" s="113" t="n">
        <x:v>46261</x:v>
      </x:c>
      <x:c r="R32" s="114" t="n">
        <x:v>46247.12868055556</x:v>
      </x:c>
      <x:c r="S32" s="108"/>
    </x:row>
    <x:row r="33">
      <x:c r="A33" s="108" t="str">
        <x:v>GBU000010-1</x:v>
      </x:c>
      <x:c r="B33" s="107" t="str">
        <x:v>Набор теней для век GBU000010 разноцветный/розовый</x:v>
      </x:c>
      <x:c r="C33" s="108" t="str">
        <x:v>GBU000010F0002</x:v>
      </x:c>
      <x:c r="D33" s="108" t="str">
        <x:v>GBU000010</x:v>
      </x:c>
      <x:c r="E33" s="112" t="str">
        <x:v>CHECK</x:v>
      </x:c>
      <x:c r="F33" s="112" t="str">
        <x:f>IF(P33=0,"Нет offer",IF(AND(J33&gt;0,N33&gt;0),"Цена + остаток",IF(J33&gt;0,"Цена, без остатка",IF(N33&gt;0,"Остаток без цены","Нет цены и остатка"))))</x:f>
        <x:v>Цена + остаток</x:v>
      </x:c>
      <x:c r="G33" s="112" t="str">
        <x:f>IF(J33&gt;0,"Да","Нет")</x:f>
        <x:v>Да</x:v>
      </x:c>
      <x:c r="H33" s="109" t="n">
        <x:v>899</x:v>
      </x:c>
      <x:c r="I33" s="109" t="n">
        <x:v>989</x:v>
      </x:c>
      <x:c r="J33" s="109" t="n">
        <x:v>395</x:v>
      </x:c>
      <x:c r="K33" s="112" t="str">
        <x:f>IF(N33&gt;0,"Да","Нет")</x:f>
        <x:v>Да</x:v>
      </x:c>
      <x:c r="L33" s="109" t="n">
        <x:v>444</x:v>
      </x:c>
      <x:c r="M33" s="109" t="n">
        <x:v>58</x:v>
      </x:c>
      <x:c r="N33" s="109" t="n">
        <x:v>37</x:v>
      </x:c>
      <x:c r="O33" s="109" t="n">
        <x:v>37</x:v>
      </x:c>
      <x:c r="P33" s="109" t="n">
        <x:v>396</x:v>
      </x:c>
      <x:c r="Q33" s="113" t="n">
        <x:v>46261</x:v>
      </x:c>
      <x:c r="R33" s="114" t="n">
        <x:v>46253.49662037037</x:v>
      </x:c>
      <x:c r="S33" s="108"/>
    </x:row>
    <x:row r="34">
      <x:c r="A34" s="108" t="str">
        <x:v>GBU000010-2</x:v>
      </x:c>
      <x:c r="B34" s="107" t="str">
        <x:v>Набор теней для век GBU000010 разноцветный</x:v>
      </x:c>
      <x:c r="C34" s="108" t="str">
        <x:v>GBU000010F0001</x:v>
      </x:c>
      <x:c r="D34" s="108" t="str">
        <x:v>GBU000010</x:v>
      </x:c>
      <x:c r="E34" s="112" t="str">
        <x:v>CHECK</x:v>
      </x:c>
      <x:c r="F34" s="112" t="str">
        <x:f>IF(P34=0,"Нет offer",IF(AND(J34&gt;0,N34&gt;0),"Цена + остаток",IF(J34&gt;0,"Цена, без остатка",IF(N34&gt;0,"Остаток без цены","Нет цены и остатка"))))</x:f>
        <x:v>Цена + остаток</x:v>
      </x:c>
      <x:c r="G34" s="112" t="str">
        <x:f>IF(J34&gt;0,"Да","Нет")</x:f>
        <x:v>Да</x:v>
      </x:c>
      <x:c r="H34" s="109" t="n">
        <x:v>899</x:v>
      </x:c>
      <x:c r="I34" s="109" t="n">
        <x:v>989</x:v>
      </x:c>
      <x:c r="J34" s="109" t="n">
        <x:v>395</x:v>
      </x:c>
      <x:c r="K34" s="112" t="str">
        <x:f>IF(N34&gt;0,"Да","Нет")</x:f>
        <x:v>Да</x:v>
      </x:c>
      <x:c r="L34" s="109" t="n">
        <x:v>428</x:v>
      </x:c>
      <x:c r="M34" s="109" t="n">
        <x:v>59</x:v>
      </x:c>
      <x:c r="N34" s="109" t="n">
        <x:v>38</x:v>
      </x:c>
      <x:c r="O34" s="109" t="n">
        <x:v>38</x:v>
      </x:c>
      <x:c r="P34" s="109" t="n">
        <x:v>396</x:v>
      </x:c>
      <x:c r="Q34" s="113" t="n">
        <x:v>46261</x:v>
      </x:c>
      <x:c r="R34" s="114" t="n">
        <x:v>46253.49668981481</x:v>
      </x:c>
      <x:c r="S34" s="108"/>
    </x:row>
    <x:row r="35">
      <x:c r="A35" s="108" t="str">
        <x:v>GBU000011-1</x:v>
      </x:c>
      <x:c r="B35" s="107" t="str">
        <x:v>Румяна GBU000011 красный</x:v>
      </x:c>
      <x:c r="C35" s="108" t="str">
        <x:v>GBU000011F0001</x:v>
      </x:c>
      <x:c r="D35" s="108" t="str">
        <x:v>GBU000011</x:v>
      </x:c>
      <x:c r="E35" s="112" t="str">
        <x:v>CHECK</x:v>
      </x:c>
      <x:c r="F35" s="112" t="str">
        <x:f>IF(P35=0,"Нет offer",IF(AND(J35&gt;0,N35&gt;0),"Цена + остаток",IF(J35&gt;0,"Цена, без остатка",IF(N35&gt;0,"Остаток без цены","Нет цены и остатка"))))</x:f>
        <x:v>Цена + остаток</x:v>
      </x:c>
      <x:c r="G35" s="112" t="str">
        <x:f>IF(J35&gt;0,"Да","Нет")</x:f>
        <x:v>Да</x:v>
      </x:c>
      <x:c r="H35" s="109" t="n">
        <x:v>399</x:v>
      </x:c>
      <x:c r="I35" s="109" t="n">
        <x:v>439</x:v>
      </x:c>
      <x:c r="J35" s="109" t="n">
        <x:v>395</x:v>
      </x:c>
      <x:c r="K35" s="112" t="str">
        <x:f>IF(N35&gt;0,"Да","Нет")</x:f>
        <x:v>Да</x:v>
      </x:c>
      <x:c r="L35" s="109" t="n">
        <x:v>633</x:v>
      </x:c>
      <x:c r="M35" s="109" t="n">
        <x:v>79</x:v>
      </x:c>
      <x:c r="N35" s="109" t="n">
        <x:v>48</x:v>
      </x:c>
      <x:c r="O35" s="109" t="n">
        <x:v>48</x:v>
      </x:c>
      <x:c r="P35" s="109" t="n">
        <x:v>396</x:v>
      </x:c>
      <x:c r="Q35" s="113" t="n">
        <x:v>46261</x:v>
      </x:c>
      <x:c r="R35" s="114" t="n">
        <x:v>46253.53107638889</x:v>
      </x:c>
      <x:c r="S35" s="108"/>
    </x:row>
    <x:row r="36">
      <x:c r="A36" s="108" t="str">
        <x:v>GBU000011-2</x:v>
      </x:c>
      <x:c r="B36" s="107" t="str">
        <x:v>Румяна GBU000011 ярко-розовый</x:v>
      </x:c>
      <x:c r="C36" s="108" t="str">
        <x:v>GBU000011F0003</x:v>
      </x:c>
      <x:c r="D36" s="108" t="str">
        <x:v>GBU000011</x:v>
      </x:c>
      <x:c r="E36" s="112" t="str">
        <x:v>CHECK</x:v>
      </x:c>
      <x:c r="F36" s="112" t="str">
        <x:f>IF(P36=0,"Нет offer",IF(AND(J36&gt;0,N36&gt;0),"Цена + остаток",IF(J36&gt;0,"Цена, без остатка",IF(N36&gt;0,"Остаток без цены","Нет цены и остатка"))))</x:f>
        <x:v>Цена + остаток</x:v>
      </x:c>
      <x:c r="G36" s="112" t="str">
        <x:f>IF(J36&gt;0,"Да","Нет")</x:f>
        <x:v>Да</x:v>
      </x:c>
      <x:c r="H36" s="109" t="n">
        <x:v>399</x:v>
      </x:c>
      <x:c r="I36" s="109" t="n">
        <x:v>439</x:v>
      </x:c>
      <x:c r="J36" s="109" t="n">
        <x:v>395</x:v>
      </x:c>
      <x:c r="K36" s="112" t="str">
        <x:f>IF(N36&gt;0,"Да","Нет")</x:f>
        <x:v>Да</x:v>
      </x:c>
      <x:c r="L36" s="109" t="n">
        <x:v>621</x:v>
      </x:c>
      <x:c r="M36" s="109" t="n">
        <x:v>79</x:v>
      </x:c>
      <x:c r="N36" s="109" t="n">
        <x:v>48</x:v>
      </x:c>
      <x:c r="O36" s="109" t="n">
        <x:v>48</x:v>
      </x:c>
      <x:c r="P36" s="109" t="n">
        <x:v>396</x:v>
      </x:c>
      <x:c r="Q36" s="113" t="n">
        <x:v>46261</x:v>
      </x:c>
      <x:c r="R36" s="114" t="n">
        <x:v>46253.49668981481</x:v>
      </x:c>
      <x:c r="S36" s="108"/>
    </x:row>
    <x:row r="37">
      <x:c r="A37" s="108" t="str">
        <x:v>GBU000011-3</x:v>
      </x:c>
      <x:c r="B37" s="107" t="str">
        <x:v>Румяна GBU000011 малиновый</x:v>
      </x:c>
      <x:c r="C37" s="108" t="str">
        <x:v>GBU000011F0002</x:v>
      </x:c>
      <x:c r="D37" s="108" t="str">
        <x:v>GBU000011</x:v>
      </x:c>
      <x:c r="E37" s="112" t="str">
        <x:v>CHECK</x:v>
      </x:c>
      <x:c r="F37" s="112" t="str">
        <x:f>IF(P37=0,"Нет offer",IF(AND(J37&gt;0,N37&gt;0),"Цена + остаток",IF(J37&gt;0,"Цена, без остатка",IF(N37&gt;0,"Остаток без цены","Нет цены и остатка"))))</x:f>
        <x:v>Цена + остаток</x:v>
      </x:c>
      <x:c r="G37" s="112" t="str">
        <x:f>IF(J37&gt;0,"Да","Нет")</x:f>
        <x:v>Да</x:v>
      </x:c>
      <x:c r="H37" s="109" t="n">
        <x:v>399</x:v>
      </x:c>
      <x:c r="I37" s="109" t="n">
        <x:v>439</x:v>
      </x:c>
      <x:c r="J37" s="109" t="n">
        <x:v>395</x:v>
      </x:c>
      <x:c r="K37" s="112" t="str">
        <x:f>IF(N37&gt;0,"Да","Нет")</x:f>
        <x:v>Да</x:v>
      </x:c>
      <x:c r="L37" s="109" t="n">
        <x:v>622</x:v>
      </x:c>
      <x:c r="M37" s="109" t="n">
        <x:v>79</x:v>
      </x:c>
      <x:c r="N37" s="109" t="n">
        <x:v>48</x:v>
      </x:c>
      <x:c r="O37" s="109" t="n">
        <x:v>48</x:v>
      </x:c>
      <x:c r="P37" s="109" t="n">
        <x:v>396</x:v>
      </x:c>
      <x:c r="Q37" s="113" t="n">
        <x:v>46261</x:v>
      </x:c>
      <x:c r="R37" s="114" t="n">
        <x:v>46253.5640162037</x:v>
      </x:c>
      <x:c r="S37" s="108"/>
    </x:row>
    <x:row r="38">
      <x:c r="A38" s="108" t="str">
        <x:v>GBU000012-1</x:v>
      </x:c>
      <x:c r="B38" s="107" t="str">
        <x:v>Тени для век GBU000012 фиолетовый</x:v>
      </x:c>
      <x:c r="C38" s="108" t="str">
        <x:v>GBU000012F0004</x:v>
      </x:c>
      <x:c r="D38" s="108" t="str">
        <x:v>GBU000012</x:v>
      </x:c>
      <x:c r="E38" s="112" t="str">
        <x:v>CHECK</x:v>
      </x:c>
      <x:c r="F38" s="112" t="str">
        <x:f>IF(P38=0,"Нет offer",IF(AND(J38&gt;0,N38&gt;0),"Цена + остаток",IF(J38&gt;0,"Цена, без остатка",IF(N38&gt;0,"Остаток без цены","Нет цены и остатка"))))</x:f>
        <x:v>Цена + остаток</x:v>
      </x:c>
      <x:c r="G38" s="112" t="str">
        <x:f>IF(J38&gt;0,"Да","Нет")</x:f>
        <x:v>Да</x:v>
      </x:c>
      <x:c r="H38" s="109" t="n">
        <x:v>399</x:v>
      </x:c>
      <x:c r="I38" s="109" t="n">
        <x:v>439</x:v>
      </x:c>
      <x:c r="J38" s="109" t="n">
        <x:v>395</x:v>
      </x:c>
      <x:c r="K38" s="112" t="str">
        <x:f>IF(N38&gt;0,"Да","Нет")</x:f>
        <x:v>Да</x:v>
      </x:c>
      <x:c r="L38" s="109" t="n">
        <x:v>627</x:v>
      </x:c>
      <x:c r="M38" s="109" t="n">
        <x:v>79</x:v>
      </x:c>
      <x:c r="N38" s="109" t="n">
        <x:v>48</x:v>
      </x:c>
      <x:c r="O38" s="109" t="n">
        <x:v>48</x:v>
      </x:c>
      <x:c r="P38" s="109" t="n">
        <x:v>396</x:v>
      </x:c>
      <x:c r="Q38" s="113" t="n">
        <x:v>46261</x:v>
      </x:c>
      <x:c r="R38" s="114" t="n">
        <x:v>46253.49670138889</x:v>
      </x:c>
      <x:c r="S38" s="108"/>
    </x:row>
    <x:row r="39">
      <x:c r="A39" s="108" t="str">
        <x:v>GBU000012-2</x:v>
      </x:c>
      <x:c r="B39" s="107" t="str">
        <x:v>Тени для век GBU000012 разноцветный/белый</x:v>
      </x:c>
      <x:c r="C39" s="108" t="str">
        <x:v>GBU000012F0002</x:v>
      </x:c>
      <x:c r="D39" s="108" t="str">
        <x:v>GBU000012</x:v>
      </x:c>
      <x:c r="E39" s="112" t="str">
        <x:v>CHECK</x:v>
      </x:c>
      <x:c r="F39" s="112" t="str">
        <x:f>IF(P39=0,"Нет offer",IF(AND(J39&gt;0,N39&gt;0),"Цена + остаток",IF(J39&gt;0,"Цена, без остатка",IF(N39&gt;0,"Остаток без цены","Нет цены и остатка"))))</x:f>
        <x:v>Цена + остаток</x:v>
      </x:c>
      <x:c r="G39" s="112" t="str">
        <x:f>IF(J39&gt;0,"Да","Нет")</x:f>
        <x:v>Да</x:v>
      </x:c>
      <x:c r="H39" s="109" t="n">
        <x:v>399</x:v>
      </x:c>
      <x:c r="I39" s="109" t="n">
        <x:v>439</x:v>
      </x:c>
      <x:c r="J39" s="109" t="n">
        <x:v>395</x:v>
      </x:c>
      <x:c r="K39" s="112" t="str">
        <x:f>IF(N39&gt;0,"Да","Нет")</x:f>
        <x:v>Да</x:v>
      </x:c>
      <x:c r="L39" s="109" t="n">
        <x:v>617</x:v>
      </x:c>
      <x:c r="M39" s="109" t="n">
        <x:v>79</x:v>
      </x:c>
      <x:c r="N39" s="109" t="n">
        <x:v>48</x:v>
      </x:c>
      <x:c r="O39" s="109" t="n">
        <x:v>48</x:v>
      </x:c>
      <x:c r="P39" s="109" t="n">
        <x:v>396</x:v>
      </x:c>
      <x:c r="Q39" s="113" t="n">
        <x:v>46261</x:v>
      </x:c>
      <x:c r="R39" s="114" t="n">
        <x:v>46253.546631944446</x:v>
      </x:c>
      <x:c r="S39" s="108"/>
    </x:row>
    <x:row r="40">
      <x:c r="A40" s="108" t="str">
        <x:v>GBU000012-3</x:v>
      </x:c>
      <x:c r="B40" s="107" t="str">
        <x:v>Тени для век GBU000012 светло-розовый</x:v>
      </x:c>
      <x:c r="C40" s="108" t="str">
        <x:v>GBU000012F0003</x:v>
      </x:c>
      <x:c r="D40" s="108" t="str">
        <x:v>GBU000012</x:v>
      </x:c>
      <x:c r="E40" s="112" t="str">
        <x:v>CHECK</x:v>
      </x:c>
      <x:c r="F40" s="112" t="str">
        <x:f>IF(P40=0,"Нет offer",IF(AND(J40&gt;0,N40&gt;0),"Цена + остаток",IF(J40&gt;0,"Цена, без остатка",IF(N40&gt;0,"Остаток без цены","Нет цены и остатка"))))</x:f>
        <x:v>Цена + остаток</x:v>
      </x:c>
      <x:c r="G40" s="112" t="str">
        <x:f>IF(J40&gt;0,"Да","Нет")</x:f>
        <x:v>Да</x:v>
      </x:c>
      <x:c r="H40" s="109" t="n">
        <x:v>399</x:v>
      </x:c>
      <x:c r="I40" s="109" t="n">
        <x:v>439</x:v>
      </x:c>
      <x:c r="J40" s="109" t="n">
        <x:v>395</x:v>
      </x:c>
      <x:c r="K40" s="112" t="str">
        <x:f>IF(N40&gt;0,"Да","Нет")</x:f>
        <x:v>Да</x:v>
      </x:c>
      <x:c r="L40" s="109" t="n">
        <x:v>612</x:v>
      </x:c>
      <x:c r="M40" s="109" t="n">
        <x:v>79</x:v>
      </x:c>
      <x:c r="N40" s="109" t="n">
        <x:v>48</x:v>
      </x:c>
      <x:c r="O40" s="109" t="n">
        <x:v>48</x:v>
      </x:c>
      <x:c r="P40" s="109" t="n">
        <x:v>396</x:v>
      </x:c>
      <x:c r="Q40" s="113" t="n">
        <x:v>46261</x:v>
      </x:c>
      <x:c r="R40" s="114" t="n">
        <x:v>46253.55001157407</x:v>
      </x:c>
      <x:c r="S40" s="108"/>
    </x:row>
    <x:row r="41">
      <x:c r="A41" s="108" t="str">
        <x:v>GBU000012-4</x:v>
      </x:c>
      <x:c r="B41" s="107" t="str">
        <x:v>Тени для век GBU000012 золотистый</x:v>
      </x:c>
      <x:c r="C41" s="108" t="str">
        <x:v>GBU000012F0001</x:v>
      </x:c>
      <x:c r="D41" s="108" t="str">
        <x:v>GBU000012</x:v>
      </x:c>
      <x:c r="E41" s="112" t="str">
        <x:v>CHECK</x:v>
      </x:c>
      <x:c r="F41" s="112" t="str">
        <x:f>IF(P41=0,"Нет offer",IF(AND(J41&gt;0,N41&gt;0),"Цена + остаток",IF(J41&gt;0,"Цена, без остатка",IF(N41&gt;0,"Остаток без цены","Нет цены и остатка"))))</x:f>
        <x:v>Цена + остаток</x:v>
      </x:c>
      <x:c r="G41" s="112" t="str">
        <x:f>IF(J41&gt;0,"Да","Нет")</x:f>
        <x:v>Да</x:v>
      </x:c>
      <x:c r="H41" s="109" t="n">
        <x:v>399</x:v>
      </x:c>
      <x:c r="I41" s="109" t="n">
        <x:v>439</x:v>
      </x:c>
      <x:c r="J41" s="109" t="n">
        <x:v>395</x:v>
      </x:c>
      <x:c r="K41" s="112" t="str">
        <x:f>IF(N41&gt;0,"Да","Нет")</x:f>
        <x:v>Да</x:v>
      </x:c>
      <x:c r="L41" s="109" t="n">
        <x:v>619</x:v>
      </x:c>
      <x:c r="M41" s="109" t="n">
        <x:v>79</x:v>
      </x:c>
      <x:c r="N41" s="109" t="n">
        <x:v>48</x:v>
      </x:c>
      <x:c r="O41" s="109" t="n">
        <x:v>48</x:v>
      </x:c>
      <x:c r="P41" s="109" t="n">
        <x:v>396</x:v>
      </x:c>
      <x:c r="Q41" s="113" t="n">
        <x:v>46261</x:v>
      </x:c>
      <x:c r="R41" s="114" t="n">
        <x:v>46253.519224537034</x:v>
      </x:c>
      <x:c r="S41" s="108" t="str">
        <x:v>GBU000012</x:v>
      </x:c>
    </x:row>
    <x:row r="42">
      <x:c r="A42" s="108" t="str">
        <x:v>GBU000013-1</x:v>
      </x:c>
      <x:c r="B42" s="107" t="str">
        <x:v>Хайлайтер GBU000013 золотистый</x:v>
      </x:c>
      <x:c r="C42" s="108" t="str">
        <x:v>GBU000013F0001</x:v>
      </x:c>
      <x:c r="D42" s="108" t="str">
        <x:v>GBU000013</x:v>
      </x:c>
      <x:c r="E42" s="112" t="str">
        <x:v>CHECK</x:v>
      </x:c>
      <x:c r="F42" s="112" t="str">
        <x:f>IF(P42=0,"Нет offer",IF(AND(J42&gt;0,N42&gt;0),"Цена + остаток",IF(J42&gt;0,"Цена, без остатка",IF(N42&gt;0,"Остаток без цены","Нет цены и остатка"))))</x:f>
        <x:v>Цена, без остатка</x:v>
      </x:c>
      <x:c r="G42" s="112" t="str">
        <x:f>IF(J42&gt;0,"Да","Нет")</x:f>
        <x:v>Да</x:v>
      </x:c>
      <x:c r="H42" s="109" t="n">
        <x:v>799</x:v>
      </x:c>
      <x:c r="I42" s="109" t="n">
        <x:v>879</x:v>
      </x:c>
      <x:c r="J42" s="109" t="n">
        <x:v>395</x:v>
      </x:c>
      <x:c r="K42" s="112" t="str">
        <x:f>IF(N42&gt;0,"Да","Нет")</x:f>
        <x:v>Нет</x:v>
      </x:c>
      <x:c r="L42" s="109" t="n">
        <x:v>0</x:v>
      </x:c>
      <x:c r="M42" s="109" t="n">
        <x:v>0</x:v>
      </x:c>
      <x:c r="N42" s="109" t="n">
        <x:v>0</x:v>
      </x:c>
      <x:c r="O42" s="109" t="n">
        <x:v>0</x:v>
      </x:c>
      <x:c r="P42" s="109" t="n">
        <x:v>396</x:v>
      </x:c>
      <x:c r="Q42" s="113" t="n">
        <x:v>46261</x:v>
      </x:c>
      <x:c r="R42" s="114" t="n">
        <x:v>46247.12868055556</x:v>
      </x:c>
      <x:c r="S42" s="108"/>
    </x:row>
    <x:row r="43">
      <x:c r="A43" s="108" t="str">
        <x:v>GBU000013-2</x:v>
      </x:c>
      <x:c r="B43" s="107" t="str">
        <x:v>Хайлайтер GBU000013 светло-розовый</x:v>
      </x:c>
      <x:c r="C43" s="108" t="str">
        <x:v>GBU000013F0002</x:v>
      </x:c>
      <x:c r="D43" s="108" t="str">
        <x:v>GBU000013</x:v>
      </x:c>
      <x:c r="E43" s="112" t="str">
        <x:v>CHECK</x:v>
      </x:c>
      <x:c r="F43" s="112" t="str">
        <x:f>IF(P43=0,"Нет offer",IF(AND(J43&gt;0,N43&gt;0),"Цена + остаток",IF(J43&gt;0,"Цена, без остатка",IF(N43&gt;0,"Остаток без цены","Нет цены и остатка"))))</x:f>
        <x:v>Цена, без остатка</x:v>
      </x:c>
      <x:c r="G43" s="112" t="str">
        <x:f>IF(J43&gt;0,"Да","Нет")</x:f>
        <x:v>Да</x:v>
      </x:c>
      <x:c r="H43" s="109" t="n">
        <x:v>799</x:v>
      </x:c>
      <x:c r="I43" s="109" t="n">
        <x:v>879</x:v>
      </x:c>
      <x:c r="J43" s="109" t="n">
        <x:v>395</x:v>
      </x:c>
      <x:c r="K43" s="112" t="str">
        <x:f>IF(N43&gt;0,"Да","Нет")</x:f>
        <x:v>Нет</x:v>
      </x:c>
      <x:c r="L43" s="109" t="n">
        <x:v>0</x:v>
      </x:c>
      <x:c r="M43" s="109" t="n">
        <x:v>0</x:v>
      </x:c>
      <x:c r="N43" s="109" t="n">
        <x:v>0</x:v>
      </x:c>
      <x:c r="O43" s="109" t="n">
        <x:v>0</x:v>
      </x:c>
      <x:c r="P43" s="109" t="n">
        <x:v>396</x:v>
      </x:c>
      <x:c r="Q43" s="113" t="n">
        <x:v>46261</x:v>
      </x:c>
      <x:c r="R43" s="114" t="n">
        <x:v>46247.12866898148</x:v>
      </x:c>
      <x:c r="S43" s="108"/>
    </x:row>
    <x:row r="44">
      <x:c r="A44" s="108" t="str">
        <x:v>GBU000014-1</x:v>
      </x:c>
      <x:c r="B44" s="107" t="str">
        <x:v>Гель для бровей GBU000014 прозрачный</x:v>
      </x:c>
      <x:c r="C44" s="108" t="str">
        <x:v>GBU000014F0002</x:v>
      </x:c>
      <x:c r="D44" s="108" t="str">
        <x:v>GBU000014</x:v>
      </x:c>
      <x:c r="E44" s="112" t="str">
        <x:v>CHECK</x:v>
      </x:c>
      <x:c r="F44" s="112" t="str">
        <x:f>IF(P44=0,"Нет offer",IF(AND(J44&gt;0,N44&gt;0),"Цена + остаток",IF(J44&gt;0,"Цена, без остатка",IF(N44&gt;0,"Остаток без цены","Нет цены и остатка"))))</x:f>
        <x:v>Цена, без остатка</x:v>
      </x:c>
      <x:c r="G44" s="112" t="str">
        <x:f>IF(J44&gt;0,"Да","Нет")</x:f>
        <x:v>Да</x:v>
      </x:c>
      <x:c r="H44" s="109" t="n">
        <x:v>399</x:v>
      </x:c>
      <x:c r="I44" s="109" t="n">
        <x:v>439</x:v>
      </x:c>
      <x:c r="J44" s="109" t="n">
        <x:v>395</x:v>
      </x:c>
      <x:c r="K44" s="112" t="str">
        <x:f>IF(N44&gt;0,"Да","Нет")</x:f>
        <x:v>Нет</x:v>
      </x:c>
      <x:c r="L44" s="109" t="n">
        <x:v>0</x:v>
      </x:c>
      <x:c r="M44" s="109" t="n">
        <x:v>0</x:v>
      </x:c>
      <x:c r="N44" s="109" t="n">
        <x:v>0</x:v>
      </x:c>
      <x:c r="O44" s="109" t="n">
        <x:v>0</x:v>
      </x:c>
      <x:c r="P44" s="109" t="n">
        <x:v>396</x:v>
      </x:c>
      <x:c r="Q44" s="113" t="n">
        <x:v>46261</x:v>
      </x:c>
      <x:c r="R44" s="114" t="n">
        <x:v>46247.12868055556</x:v>
      </x:c>
      <x:c r="S44" s="108" t="str">
        <x:v>GBU000014</x:v>
      </x:c>
    </x:row>
    <x:row r="45">
      <x:c r="A45" s="108" t="str">
        <x:v>GBU000014-2</x:v>
      </x:c>
      <x:c r="B45" s="107" t="str">
        <x:v>Гель для бровей GBU000014 коричневый</x:v>
      </x:c>
      <x:c r="C45" s="108" t="str">
        <x:v>GBU000014F0001</x:v>
      </x:c>
      <x:c r="D45" s="108" t="str">
        <x:v>GBU000014</x:v>
      </x:c>
      <x:c r="E45" s="112" t="str">
        <x:v>CHECK</x:v>
      </x:c>
      <x:c r="F45" s="112" t="str">
        <x:f>IF(P45=0,"Нет offer",IF(AND(J45&gt;0,N45&gt;0),"Цена + остаток",IF(J45&gt;0,"Цена, без остатка",IF(N45&gt;0,"Остаток без цены","Нет цены и остатка"))))</x:f>
        <x:v>Цена, без остатка</x:v>
      </x:c>
      <x:c r="G45" s="112" t="str">
        <x:f>IF(J45&gt;0,"Да","Нет")</x:f>
        <x:v>Да</x:v>
      </x:c>
      <x:c r="H45" s="109" t="n">
        <x:v>399</x:v>
      </x:c>
      <x:c r="I45" s="109" t="n">
        <x:v>439</x:v>
      </x:c>
      <x:c r="J45" s="109" t="n">
        <x:v>395</x:v>
      </x:c>
      <x:c r="K45" s="112" t="str">
        <x:f>IF(N45&gt;0,"Да","Нет")</x:f>
        <x:v>Нет</x:v>
      </x:c>
      <x:c r="L45" s="109" t="n">
        <x:v>0</x:v>
      </x:c>
      <x:c r="M45" s="109" t="n">
        <x:v>0</x:v>
      </x:c>
      <x:c r="N45" s="109" t="n">
        <x:v>0</x:v>
      </x:c>
      <x:c r="O45" s="109" t="n">
        <x:v>0</x:v>
      </x:c>
      <x:c r="P45" s="109" t="n">
        <x:v>396</x:v>
      </x:c>
      <x:c r="Q45" s="113" t="n">
        <x:v>46261</x:v>
      </x:c>
      <x:c r="R45" s="114" t="n">
        <x:v>46247.12869212963</x:v>
      </x:c>
      <x:c r="S45" s="108" t="str">
        <x:v>GBU000014</x:v>
      </x:c>
    </x:row>
    <x:row r="46">
      <x:c r="A46" s="108" t="str">
        <x:v>GBU000014-3</x:v>
      </x:c>
      <x:c r="B46" s="107" t="str">
        <x:v>Гель для бровей GBU000014 темно-бежевый</x:v>
      </x:c>
      <x:c r="C46" s="108" t="str">
        <x:v>GBU000014F0003</x:v>
      </x:c>
      <x:c r="D46" s="108" t="str">
        <x:v>GBU000014</x:v>
      </x:c>
      <x:c r="E46" s="112" t="str">
        <x:v>CHECK</x:v>
      </x:c>
      <x:c r="F46" s="112" t="str">
        <x:f>IF(P46=0,"Нет offer",IF(AND(J46&gt;0,N46&gt;0),"Цена + остаток",IF(J46&gt;0,"Цена, без остатка",IF(N46&gt;0,"Остаток без цены","Нет цены и остатка"))))</x:f>
        <x:v>Цена, без остатка</x:v>
      </x:c>
      <x:c r="G46" s="112" t="str">
        <x:f>IF(J46&gt;0,"Да","Нет")</x:f>
        <x:v>Да</x:v>
      </x:c>
      <x:c r="H46" s="109" t="n">
        <x:v>399</x:v>
      </x:c>
      <x:c r="I46" s="109" t="n">
        <x:v>439</x:v>
      </x:c>
      <x:c r="J46" s="109" t="n">
        <x:v>395</x:v>
      </x:c>
      <x:c r="K46" s="112" t="str">
        <x:f>IF(N46&gt;0,"Да","Нет")</x:f>
        <x:v>Нет</x:v>
      </x:c>
      <x:c r="L46" s="109" t="n">
        <x:v>0</x:v>
      </x:c>
      <x:c r="M46" s="109" t="n">
        <x:v>0</x:v>
      </x:c>
      <x:c r="N46" s="109" t="n">
        <x:v>0</x:v>
      </x:c>
      <x:c r="O46" s="109" t="n">
        <x:v>0</x:v>
      </x:c>
      <x:c r="P46" s="109" t="n">
        <x:v>396</x:v>
      </x:c>
      <x:c r="Q46" s="113" t="n">
        <x:v>46261</x:v>
      </x:c>
      <x:c r="R46" s="114" t="n">
        <x:v>46247.12869212963</x:v>
      </x:c>
      <x:c r="S46" s="108"/>
    </x:row>
    <x:row r="47">
      <x:c r="A47" s="108" t="str">
        <x:v>GBU000016-1</x:v>
      </x:c>
      <x:c r="B47" s="107" t="str">
        <x:v>Лайнер для глаз GBU000016 черный</x:v>
      </x:c>
      <x:c r="C47" s="108" t="str">
        <x:v>GBU000016F0005</x:v>
      </x:c>
      <x:c r="D47" s="108" t="str">
        <x:v>GBU000016</x:v>
      </x:c>
      <x:c r="E47" s="112" t="str">
        <x:v>CHECK</x:v>
      </x:c>
      <x:c r="F47" s="112" t="str">
        <x:f>IF(P47=0,"Нет offer",IF(AND(J47&gt;0,N47&gt;0),"Цена + остаток",IF(J47&gt;0,"Цена, без остатка",IF(N47&gt;0,"Остаток без цены","Нет цены и остатка"))))</x:f>
        <x:v>Цена, без остатка</x:v>
      </x:c>
      <x:c r="G47" s="112" t="str">
        <x:f>IF(J47&gt;0,"Да","Нет")</x:f>
        <x:v>Да</x:v>
      </x:c>
      <x:c r="H47" s="109" t="n">
        <x:v>399</x:v>
      </x:c>
      <x:c r="I47" s="109" t="n">
        <x:v>439</x:v>
      </x:c>
      <x:c r="J47" s="109" t="n">
        <x:v>395</x:v>
      </x:c>
      <x:c r="K47" s="112" t="str">
        <x:f>IF(N47&gt;0,"Да","Нет")</x:f>
        <x:v>Нет</x:v>
      </x:c>
      <x:c r="L47" s="109" t="n">
        <x:v>0</x:v>
      </x:c>
      <x:c r="M47" s="109" t="n">
        <x:v>0</x:v>
      </x:c>
      <x:c r="N47" s="109" t="n">
        <x:v>0</x:v>
      </x:c>
      <x:c r="O47" s="109" t="n">
        <x:v>0</x:v>
      </x:c>
      <x:c r="P47" s="109" t="n">
        <x:v>396</x:v>
      </x:c>
      <x:c r="Q47" s="113" t="n">
        <x:v>46261</x:v>
      </x:c>
      <x:c r="R47" s="114" t="n">
        <x:v>46247.12869212963</x:v>
      </x:c>
      <x:c r="S47" s="108" t="str">
        <x:v>GBU000016</x:v>
      </x:c>
    </x:row>
    <x:row r="48">
      <x:c r="A48" s="108" t="str">
        <x:v>GBU000016-2</x:v>
      </x:c>
      <x:c r="B48" s="107" t="str">
        <x:v>Лайнер для глаз GBU000016 коричневый</x:v>
      </x:c>
      <x:c r="C48" s="108" t="str">
        <x:v>GBU000016F0002</x:v>
      </x:c>
      <x:c r="D48" s="108" t="str">
        <x:v>GBU000016</x:v>
      </x:c>
      <x:c r="E48" s="112" t="str">
        <x:v>CHECK</x:v>
      </x:c>
      <x:c r="F48" s="112" t="str">
        <x:f>IF(P48=0,"Нет offer",IF(AND(J48&gt;0,N48&gt;0),"Цена + остаток",IF(J48&gt;0,"Цена, без остатка",IF(N48&gt;0,"Остаток без цены","Нет цены и остатка"))))</x:f>
        <x:v>Цена, без остатка</x:v>
      </x:c>
      <x:c r="G48" s="112" t="str">
        <x:f>IF(J48&gt;0,"Да","Нет")</x:f>
        <x:v>Да</x:v>
      </x:c>
      <x:c r="H48" s="109" t="n">
        <x:v>399</x:v>
      </x:c>
      <x:c r="I48" s="109" t="n">
        <x:v>439</x:v>
      </x:c>
      <x:c r="J48" s="109" t="n">
        <x:v>395</x:v>
      </x:c>
      <x:c r="K48" s="112" t="str">
        <x:f>IF(N48&gt;0,"Да","Нет")</x:f>
        <x:v>Нет</x:v>
      </x:c>
      <x:c r="L48" s="109" t="n">
        <x:v>0</x:v>
      </x:c>
      <x:c r="M48" s="109" t="n">
        <x:v>0</x:v>
      </x:c>
      <x:c r="N48" s="109" t="n">
        <x:v>0</x:v>
      </x:c>
      <x:c r="O48" s="109" t="n">
        <x:v>0</x:v>
      </x:c>
      <x:c r="P48" s="109" t="n">
        <x:v>396</x:v>
      </x:c>
      <x:c r="Q48" s="113" t="n">
        <x:v>46261</x:v>
      </x:c>
      <x:c r="R48" s="114" t="n">
        <x:v>46247.12868055556</x:v>
      </x:c>
      <x:c r="S48" s="108"/>
    </x:row>
    <x:row r="49">
      <x:c r="A49" s="108" t="str">
        <x:v>GBU000016-3</x:v>
      </x:c>
      <x:c r="B49" s="107" t="str">
        <x:v>Лайнер для глаз GBU000016 розовый</x:v>
      </x:c>
      <x:c r="C49" s="108" t="str">
        <x:v>GBU000016F0003</x:v>
      </x:c>
      <x:c r="D49" s="108" t="str">
        <x:v>GBU000016</x:v>
      </x:c>
      <x:c r="E49" s="112" t="str">
        <x:v>CHECK</x:v>
      </x:c>
      <x:c r="F49" s="112" t="str">
        <x:f>IF(P49=0,"Нет offer",IF(AND(J49&gt;0,N49&gt;0),"Цена + остаток",IF(J49&gt;0,"Цена, без остатка",IF(N49&gt;0,"Остаток без цены","Нет цены и остатка"))))</x:f>
        <x:v>Цена, без остатка</x:v>
      </x:c>
      <x:c r="G49" s="112" t="str">
        <x:f>IF(J49&gt;0,"Да","Нет")</x:f>
        <x:v>Да</x:v>
      </x:c>
      <x:c r="H49" s="109" t="n">
        <x:v>399</x:v>
      </x:c>
      <x:c r="I49" s="109" t="n">
        <x:v>439</x:v>
      </x:c>
      <x:c r="J49" s="109" t="n">
        <x:v>395</x:v>
      </x:c>
      <x:c r="K49" s="112" t="str">
        <x:f>IF(N49&gt;0,"Да","Нет")</x:f>
        <x:v>Нет</x:v>
      </x:c>
      <x:c r="L49" s="109" t="n">
        <x:v>0</x:v>
      </x:c>
      <x:c r="M49" s="109" t="n">
        <x:v>0</x:v>
      </x:c>
      <x:c r="N49" s="109" t="n">
        <x:v>0</x:v>
      </x:c>
      <x:c r="O49" s="109" t="n">
        <x:v>0</x:v>
      </x:c>
      <x:c r="P49" s="109" t="n">
        <x:v>396</x:v>
      </x:c>
      <x:c r="Q49" s="113" t="n">
        <x:v>46261</x:v>
      </x:c>
      <x:c r="R49" s="114" t="n">
        <x:v>46247.12866898148</x:v>
      </x:c>
      <x:c r="S49" s="108"/>
    </x:row>
    <x:row r="50">
      <x:c r="A50" s="108" t="str">
        <x:v>GBU000016-4</x:v>
      </x:c>
      <x:c r="B50" s="107" t="str">
        <x:v>Лайнер для глаз GBU000016 синий</x:v>
      </x:c>
      <x:c r="C50" s="108" t="str">
        <x:v>GBU000016F0004</x:v>
      </x:c>
      <x:c r="D50" s="108" t="str">
        <x:v>GBU000016</x:v>
      </x:c>
      <x:c r="E50" s="112" t="str">
        <x:v>CHECK</x:v>
      </x:c>
      <x:c r="F50" s="112" t="str">
        <x:f>IF(P50=0,"Нет offer",IF(AND(J50&gt;0,N50&gt;0),"Цена + остаток",IF(J50&gt;0,"Цена, без остатка",IF(N50&gt;0,"Остаток без цены","Нет цены и остатка"))))</x:f>
        <x:v>Цена, без остатка</x:v>
      </x:c>
      <x:c r="G50" s="112" t="str">
        <x:f>IF(J50&gt;0,"Да","Нет")</x:f>
        <x:v>Да</x:v>
      </x:c>
      <x:c r="H50" s="109" t="n">
        <x:v>399</x:v>
      </x:c>
      <x:c r="I50" s="109" t="n">
        <x:v>439</x:v>
      </x:c>
      <x:c r="J50" s="109" t="n">
        <x:v>395</x:v>
      </x:c>
      <x:c r="K50" s="112" t="str">
        <x:f>IF(N50&gt;0,"Да","Нет")</x:f>
        <x:v>Нет</x:v>
      </x:c>
      <x:c r="L50" s="109" t="n">
        <x:v>0</x:v>
      </x:c>
      <x:c r="M50" s="109" t="n">
        <x:v>0</x:v>
      </x:c>
      <x:c r="N50" s="109" t="n">
        <x:v>0</x:v>
      </x:c>
      <x:c r="O50" s="109" t="n">
        <x:v>0</x:v>
      </x:c>
      <x:c r="P50" s="109" t="n">
        <x:v>396</x:v>
      </x:c>
      <x:c r="Q50" s="113" t="n">
        <x:v>46261</x:v>
      </x:c>
      <x:c r="R50" s="114" t="n">
        <x:v>46247.12868055556</x:v>
      </x:c>
      <x:c r="S50" s="108" t="str">
        <x:v>GBU000016</x:v>
      </x:c>
    </x:row>
    <x:row r="51">
      <x:c r="A51" s="108" t="str">
        <x:v>GBU000016-5</x:v>
      </x:c>
      <x:c r="B51" s="107" t="str">
        <x:v>Лайнер для глаз GBU000016 зеленый</x:v>
      </x:c>
      <x:c r="C51" s="108" t="str">
        <x:v>GBU000016F0001</x:v>
      </x:c>
      <x:c r="D51" s="108" t="str">
        <x:v>GBU000016</x:v>
      </x:c>
      <x:c r="E51" s="112" t="str">
        <x:v>CHECK</x:v>
      </x:c>
      <x:c r="F51" s="112" t="str">
        <x:f>IF(P51=0,"Нет offer",IF(AND(J51&gt;0,N51&gt;0),"Цена + остаток",IF(J51&gt;0,"Цена, без остатка",IF(N51&gt;0,"Остаток без цены","Нет цены и остатка"))))</x:f>
        <x:v>Цена, без остатка</x:v>
      </x:c>
      <x:c r="G51" s="112" t="str">
        <x:f>IF(J51&gt;0,"Да","Нет")</x:f>
        <x:v>Да</x:v>
      </x:c>
      <x:c r="H51" s="109" t="n">
        <x:v>399</x:v>
      </x:c>
      <x:c r="I51" s="109" t="n">
        <x:v>439</x:v>
      </x:c>
      <x:c r="J51" s="109" t="n">
        <x:v>395</x:v>
      </x:c>
      <x:c r="K51" s="112" t="str">
        <x:f>IF(N51&gt;0,"Да","Нет")</x:f>
        <x:v>Нет</x:v>
      </x:c>
      <x:c r="L51" s="109" t="n">
        <x:v>0</x:v>
      </x:c>
      <x:c r="M51" s="109" t="n">
        <x:v>0</x:v>
      </x:c>
      <x:c r="N51" s="109" t="n">
        <x:v>0</x:v>
      </x:c>
      <x:c r="O51" s="109" t="n">
        <x:v>0</x:v>
      </x:c>
      <x:c r="P51" s="109" t="n">
        <x:v>396</x:v>
      </x:c>
      <x:c r="Q51" s="113" t="n">
        <x:v>46261</x:v>
      </x:c>
      <x:c r="R51" s="114" t="n">
        <x:v>46247.12866898148</x:v>
      </x:c>
      <x:c r="S51" s="108"/>
    </x:row>
    <x:row r="52">
      <x:c r="A52" s="108" t="str">
        <x:v>GBU000017-1</x:v>
      </x:c>
      <x:c r="B52" s="107" t="str">
        <x:v>Румяна GBU000017 малиновый</x:v>
      </x:c>
      <x:c r="C52" s="108" t="str">
        <x:v>GBU000017F0001</x:v>
      </x:c>
      <x:c r="D52" s="108" t="str">
        <x:v>GBU000017</x:v>
      </x:c>
      <x:c r="E52" s="112" t="str">
        <x:v>CHECK</x:v>
      </x:c>
      <x:c r="F52" s="112" t="str">
        <x:f>IF(P52=0,"Нет offer",IF(AND(J52&gt;0,N52&gt;0),"Цена + остаток",IF(J52&gt;0,"Цена, без остатка",IF(N52&gt;0,"Остаток без цены","Нет цены и остатка"))))</x:f>
        <x:v>Цена, без остатка</x:v>
      </x:c>
      <x:c r="G52" s="112" t="str">
        <x:f>IF(J52&gt;0,"Да","Нет")</x:f>
        <x:v>Да</x:v>
      </x:c>
      <x:c r="H52" s="109" t="n">
        <x:v>799</x:v>
      </x:c>
      <x:c r="I52" s="109" t="n">
        <x:v>879</x:v>
      </x:c>
      <x:c r="J52" s="109" t="n">
        <x:v>395</x:v>
      </x:c>
      <x:c r="K52" s="112" t="str">
        <x:f>IF(N52&gt;0,"Да","Нет")</x:f>
        <x:v>Нет</x:v>
      </x:c>
      <x:c r="L52" s="109" t="n">
        <x:v>0</x:v>
      </x:c>
      <x:c r="M52" s="109" t="n">
        <x:v>0</x:v>
      </x:c>
      <x:c r="N52" s="109" t="n">
        <x:v>0</x:v>
      </x:c>
      <x:c r="O52" s="109" t="n">
        <x:v>0</x:v>
      </x:c>
      <x:c r="P52" s="109" t="n">
        <x:v>396</x:v>
      </x:c>
      <x:c r="Q52" s="113" t="n">
        <x:v>46261</x:v>
      </x:c>
      <x:c r="R52" s="114" t="n">
        <x:v>46247.12868055556</x:v>
      </x:c>
      <x:c r="S52" s="108"/>
    </x:row>
    <x:row r="53">
      <x:c r="A53" s="108" t="str">
        <x:v>GBU000017-2</x:v>
      </x:c>
      <x:c r="B53" s="107" t="str">
        <x:v>Румяна GBU000017 ярко-розовый</x:v>
      </x:c>
      <x:c r="C53" s="108" t="str">
        <x:v>GBU000017F0004</x:v>
      </x:c>
      <x:c r="D53" s="108" t="str">
        <x:v>GBU000017</x:v>
      </x:c>
      <x:c r="E53" s="112" t="str">
        <x:v>CHECK</x:v>
      </x:c>
      <x:c r="F53" s="112" t="str">
        <x:f>IF(P53=0,"Нет offer",IF(AND(J53&gt;0,N53&gt;0),"Цена + остаток",IF(J53&gt;0,"Цена, без остатка",IF(N53&gt;0,"Остаток без цены","Нет цены и остатка"))))</x:f>
        <x:v>Цена, без остатка</x:v>
      </x:c>
      <x:c r="G53" s="112" t="str">
        <x:f>IF(J53&gt;0,"Да","Нет")</x:f>
        <x:v>Да</x:v>
      </x:c>
      <x:c r="H53" s="109" t="n">
        <x:v>799</x:v>
      </x:c>
      <x:c r="I53" s="109" t="n">
        <x:v>879</x:v>
      </x:c>
      <x:c r="J53" s="109" t="n">
        <x:v>395</x:v>
      </x:c>
      <x:c r="K53" s="112" t="str">
        <x:f>IF(N53&gt;0,"Да","Нет")</x:f>
        <x:v>Нет</x:v>
      </x:c>
      <x:c r="L53" s="109" t="n">
        <x:v>0</x:v>
      </x:c>
      <x:c r="M53" s="109" t="n">
        <x:v>0</x:v>
      </x:c>
      <x:c r="N53" s="109" t="n">
        <x:v>0</x:v>
      </x:c>
      <x:c r="O53" s="109" t="n">
        <x:v>0</x:v>
      </x:c>
      <x:c r="P53" s="109" t="n">
        <x:v>396</x:v>
      </x:c>
      <x:c r="Q53" s="113" t="n">
        <x:v>46261</x:v>
      </x:c>
      <x:c r="R53" s="114" t="n">
        <x:v>46247.12869212963</x:v>
      </x:c>
      <x:c r="S53" s="108"/>
    </x:row>
    <x:row r="54">
      <x:c r="A54" s="108" t="str">
        <x:v>GBU000017-3</x:v>
      </x:c>
      <x:c r="B54" s="107" t="str">
        <x:v>Румяна GBU000017 розовый/бежевый</x:v>
      </x:c>
      <x:c r="C54" s="108" t="str">
        <x:v>GBU000017F0002</x:v>
      </x:c>
      <x:c r="D54" s="108" t="str">
        <x:v>GBU000017</x:v>
      </x:c>
      <x:c r="E54" s="112" t="str">
        <x:v>CHECK</x:v>
      </x:c>
      <x:c r="F54" s="112" t="str">
        <x:f>IF(P54=0,"Нет offer",IF(AND(J54&gt;0,N54&gt;0),"Цена + остаток",IF(J54&gt;0,"Цена, без остатка",IF(N54&gt;0,"Остаток без цены","Нет цены и остатка"))))</x:f>
        <x:v>Цена, без остатка</x:v>
      </x:c>
      <x:c r="G54" s="112" t="str">
        <x:f>IF(J54&gt;0,"Да","Нет")</x:f>
        <x:v>Да</x:v>
      </x:c>
      <x:c r="H54" s="109" t="n">
        <x:v>799</x:v>
      </x:c>
      <x:c r="I54" s="109" t="n">
        <x:v>879</x:v>
      </x:c>
      <x:c r="J54" s="109" t="n">
        <x:v>395</x:v>
      </x:c>
      <x:c r="K54" s="112" t="str">
        <x:f>IF(N54&gt;0,"Да","Нет")</x:f>
        <x:v>Нет</x:v>
      </x:c>
      <x:c r="L54" s="109" t="n">
        <x:v>0</x:v>
      </x:c>
      <x:c r="M54" s="109" t="n">
        <x:v>0</x:v>
      </x:c>
      <x:c r="N54" s="109" t="n">
        <x:v>0</x:v>
      </x:c>
      <x:c r="O54" s="109" t="n">
        <x:v>0</x:v>
      </x:c>
      <x:c r="P54" s="109" t="n">
        <x:v>396</x:v>
      </x:c>
      <x:c r="Q54" s="113" t="n">
        <x:v>46261</x:v>
      </x:c>
      <x:c r="R54" s="114" t="n">
        <x:v>46247.12868055556</x:v>
      </x:c>
      <x:c r="S54" s="108"/>
    </x:row>
    <x:row r="55">
      <x:c r="A55" s="108" t="str">
        <x:v>GBU000017-4</x:v>
      </x:c>
      <x:c r="B55" s="107" t="str">
        <x:v>Румяна GBU000017 светло-розовый</x:v>
      </x:c>
      <x:c r="C55" s="108" t="str">
        <x:v>GBU000017F0003</x:v>
      </x:c>
      <x:c r="D55" s="108" t="str">
        <x:v>GBU000017</x:v>
      </x:c>
      <x:c r="E55" s="112" t="str">
        <x:v>CHECK</x:v>
      </x:c>
      <x:c r="F55" s="112" t="str">
        <x:f>IF(P55=0,"Нет offer",IF(AND(J55&gt;0,N55&gt;0),"Цена + остаток",IF(J55&gt;0,"Цена, без остатка",IF(N55&gt;0,"Остаток без цены","Нет цены и остатка"))))</x:f>
        <x:v>Цена, без остатка</x:v>
      </x:c>
      <x:c r="G55" s="112" t="str">
        <x:f>IF(J55&gt;0,"Да","Нет")</x:f>
        <x:v>Да</x:v>
      </x:c>
      <x:c r="H55" s="109" t="n">
        <x:v>799</x:v>
      </x:c>
      <x:c r="I55" s="109" t="n">
        <x:v>879</x:v>
      </x:c>
      <x:c r="J55" s="109" t="n">
        <x:v>395</x:v>
      </x:c>
      <x:c r="K55" s="112" t="str">
        <x:f>IF(N55&gt;0,"Да","Нет")</x:f>
        <x:v>Нет</x:v>
      </x:c>
      <x:c r="L55" s="109" t="n">
        <x:v>0</x:v>
      </x:c>
      <x:c r="M55" s="109" t="n">
        <x:v>0</x:v>
      </x:c>
      <x:c r="N55" s="109" t="n">
        <x:v>0</x:v>
      </x:c>
      <x:c r="O55" s="109" t="n">
        <x:v>0</x:v>
      </x:c>
      <x:c r="P55" s="109" t="n">
        <x:v>396</x:v>
      </x:c>
      <x:c r="Q55" s="113" t="n">
        <x:v>46261</x:v>
      </x:c>
      <x:c r="R55" s="114" t="n">
        <x:v>46247.12868055556</x:v>
      </x:c>
      <x:c r="S55" s="108"/>
    </x:row>
    <x:row r="56">
      <x:c r="A56" s="108" t="str">
        <x:v>GBU000018-1</x:v>
      </x:c>
      <x:c r="B56" s="107" t="str">
        <x:v>Масло для губ GBU000018 зеленый</x:v>
      </x:c>
      <x:c r="C56" s="108" t="str">
        <x:v>GBU000018F0002</x:v>
      </x:c>
      <x:c r="D56" s="108" t="str">
        <x:v>GBU000018</x:v>
      </x:c>
      <x:c r="E56" s="112" t="str">
        <x:v>CHECK</x:v>
      </x:c>
      <x:c r="F56" s="112" t="str">
        <x:f>IF(P56=0,"Нет offer",IF(AND(J56&gt;0,N56&gt;0),"Цена + остаток",IF(J56&gt;0,"Цена, без остатка",IF(N56&gt;0,"Остаток без цены","Нет цены и остатка"))))</x:f>
        <x:v>Цена, без остатка</x:v>
      </x:c>
      <x:c r="G56" s="112" t="str">
        <x:f>IF(J56&gt;0,"Да","Нет")</x:f>
        <x:v>Да</x:v>
      </x:c>
      <x:c r="H56" s="109" t="n">
        <x:v>299</x:v>
      </x:c>
      <x:c r="I56" s="109" t="n">
        <x:v>329</x:v>
      </x:c>
      <x:c r="J56" s="109" t="n">
        <x:v>395</x:v>
      </x:c>
      <x:c r="K56" s="112" t="str">
        <x:f>IF(N56&gt;0,"Да","Нет")</x:f>
        <x:v>Нет</x:v>
      </x:c>
      <x:c r="L56" s="109" t="n">
        <x:v>0</x:v>
      </x:c>
      <x:c r="M56" s="109" t="n">
        <x:v>0</x:v>
      </x:c>
      <x:c r="N56" s="109" t="n">
        <x:v>0</x:v>
      </x:c>
      <x:c r="O56" s="109" t="n">
        <x:v>0</x:v>
      </x:c>
      <x:c r="P56" s="109" t="n">
        <x:v>396</x:v>
      </x:c>
      <x:c r="Q56" s="113" t="n">
        <x:v>46261</x:v>
      </x:c>
      <x:c r="R56" s="114" t="n">
        <x:v>46247.12869212963</x:v>
      </x:c>
      <x:c r="S56" s="108" t="str">
        <x:v>GBU000018</x:v>
      </x:c>
    </x:row>
    <x:row r="57">
      <x:c r="A57" s="108" t="str">
        <x:v>GBU000018-2</x:v>
      </x:c>
      <x:c r="B57" s="107" t="str">
        <x:v>Масло для губ GBU000018 прозрачный</x:v>
      </x:c>
      <x:c r="C57" s="108" t="str">
        <x:v>GBU000018F0004</x:v>
      </x:c>
      <x:c r="D57" s="108" t="str">
        <x:v>GBU000018</x:v>
      </x:c>
      <x:c r="E57" s="112" t="str">
        <x:v>CHECK</x:v>
      </x:c>
      <x:c r="F57" s="112" t="str">
        <x:f>IF(P57=0,"Нет offer",IF(AND(J57&gt;0,N57&gt;0),"Цена + остаток",IF(J57&gt;0,"Цена, без остатка",IF(N57&gt;0,"Остаток без цены","Нет цены и остатка"))))</x:f>
        <x:v>Цена, без остатка</x:v>
      </x:c>
      <x:c r="G57" s="112" t="str">
        <x:f>IF(J57&gt;0,"Да","Нет")</x:f>
        <x:v>Да</x:v>
      </x:c>
      <x:c r="H57" s="109" t="n">
        <x:v>299</x:v>
      </x:c>
      <x:c r="I57" s="109" t="n">
        <x:v>329</x:v>
      </x:c>
      <x:c r="J57" s="109" t="n">
        <x:v>395</x:v>
      </x:c>
      <x:c r="K57" s="112" t="str">
        <x:f>IF(N57&gt;0,"Да","Нет")</x:f>
        <x:v>Нет</x:v>
      </x:c>
      <x:c r="L57" s="109" t="n">
        <x:v>0</x:v>
      </x:c>
      <x:c r="M57" s="109" t="n">
        <x:v>0</x:v>
      </x:c>
      <x:c r="N57" s="109" t="n">
        <x:v>0</x:v>
      </x:c>
      <x:c r="O57" s="109" t="n">
        <x:v>0</x:v>
      </x:c>
      <x:c r="P57" s="109" t="n">
        <x:v>396</x:v>
      </x:c>
      <x:c r="Q57" s="113" t="n">
        <x:v>46261</x:v>
      </x:c>
      <x:c r="R57" s="114" t="n">
        <x:v>46247.12869212963</x:v>
      </x:c>
      <x:c r="S57" s="108" t="str">
        <x:v>GBU000018</x:v>
      </x:c>
    </x:row>
    <x:row r="58">
      <x:c r="A58" s="108" t="str">
        <x:v>GBU000018-3</x:v>
      </x:c>
      <x:c r="B58" s="107" t="str">
        <x:v>Масло для губ GBU000018 синий</x:v>
      </x:c>
      <x:c r="C58" s="108" t="str">
        <x:v>GBU000018F0005</x:v>
      </x:c>
      <x:c r="D58" s="108" t="str">
        <x:v>GBU000018</x:v>
      </x:c>
      <x:c r="E58" s="112" t="str">
        <x:v>CHECK</x:v>
      </x:c>
      <x:c r="F58" s="112" t="str">
        <x:f>IF(P58=0,"Нет offer",IF(AND(J58&gt;0,N58&gt;0),"Цена + остаток",IF(J58&gt;0,"Цена, без остатка",IF(N58&gt;0,"Остаток без цены","Нет цены и остатка"))))</x:f>
        <x:v>Цена, без остатка</x:v>
      </x:c>
      <x:c r="G58" s="112" t="str">
        <x:f>IF(J58&gt;0,"Да","Нет")</x:f>
        <x:v>Да</x:v>
      </x:c>
      <x:c r="H58" s="109" t="n">
        <x:v>299</x:v>
      </x:c>
      <x:c r="I58" s="109" t="n">
        <x:v>329</x:v>
      </x:c>
      <x:c r="J58" s="109" t="n">
        <x:v>395</x:v>
      </x:c>
      <x:c r="K58" s="112" t="str">
        <x:f>IF(N58&gt;0,"Да","Нет")</x:f>
        <x:v>Нет</x:v>
      </x:c>
      <x:c r="L58" s="109" t="n">
        <x:v>0</x:v>
      </x:c>
      <x:c r="M58" s="109" t="n">
        <x:v>0</x:v>
      </x:c>
      <x:c r="N58" s="109" t="n">
        <x:v>0</x:v>
      </x:c>
      <x:c r="O58" s="109" t="n">
        <x:v>0</x:v>
      </x:c>
      <x:c r="P58" s="109" t="n">
        <x:v>396</x:v>
      </x:c>
      <x:c r="Q58" s="113" t="n">
        <x:v>46261</x:v>
      </x:c>
      <x:c r="R58" s="114" t="n">
        <x:v>46247.12868055556</x:v>
      </x:c>
      <x:c r="S58" s="108" t="str">
        <x:v>GBU000018</x:v>
      </x:c>
    </x:row>
    <x:row r="59">
      <x:c r="A59" s="108" t="str">
        <x:v>GBU000018-4</x:v>
      </x:c>
      <x:c r="B59" s="107" t="str">
        <x:v>Масло для губ GBU000018 малиновый</x:v>
      </x:c>
      <x:c r="C59" s="108" t="str">
        <x:v>GBU000018F0003</x:v>
      </x:c>
      <x:c r="D59" s="108" t="str">
        <x:v>GBU000018</x:v>
      </x:c>
      <x:c r="E59" s="112" t="str">
        <x:v>CHECK</x:v>
      </x:c>
      <x:c r="F59" s="112" t="str">
        <x:f>IF(P59=0,"Нет offer",IF(AND(J59&gt;0,N59&gt;0),"Цена + остаток",IF(J59&gt;0,"Цена, без остатка",IF(N59&gt;0,"Остаток без цены","Нет цены и остатка"))))</x:f>
        <x:v>Цена, без остатка</x:v>
      </x:c>
      <x:c r="G59" s="112" t="str">
        <x:f>IF(J59&gt;0,"Да","Нет")</x:f>
        <x:v>Да</x:v>
      </x:c>
      <x:c r="H59" s="109" t="n">
        <x:v>299</x:v>
      </x:c>
      <x:c r="I59" s="109" t="n">
        <x:v>329</x:v>
      </x:c>
      <x:c r="J59" s="109" t="n">
        <x:v>395</x:v>
      </x:c>
      <x:c r="K59" s="112" t="str">
        <x:f>IF(N59&gt;0,"Да","Нет")</x:f>
        <x:v>Нет</x:v>
      </x:c>
      <x:c r="L59" s="109" t="n">
        <x:v>0</x:v>
      </x:c>
      <x:c r="M59" s="109" t="n">
        <x:v>0</x:v>
      </x:c>
      <x:c r="N59" s="109" t="n">
        <x:v>0</x:v>
      </x:c>
      <x:c r="O59" s="109" t="n">
        <x:v>0</x:v>
      </x:c>
      <x:c r="P59" s="109" t="n">
        <x:v>396</x:v>
      </x:c>
      <x:c r="Q59" s="113" t="n">
        <x:v>46261</x:v>
      </x:c>
      <x:c r="R59" s="114" t="n">
        <x:v>46247.12869212963</x:v>
      </x:c>
      <x:c r="S59" s="108" t="str">
        <x:v>GBU000018</x:v>
      </x:c>
    </x:row>
    <x:row r="60">
      <x:c r="A60" s="108" t="str">
        <x:v>GBU000018-5</x:v>
      </x:c>
      <x:c r="B60" s="107" t="str">
        <x:v>Масло для губ GBU000018 ярко-розовый</x:v>
      </x:c>
      <x:c r="C60" s="108" t="str">
        <x:v>GBU000018F0006</x:v>
      </x:c>
      <x:c r="D60" s="108" t="str">
        <x:v>GBU000018</x:v>
      </x:c>
      <x:c r="E60" s="112" t="str">
        <x:v>CHECK</x:v>
      </x:c>
      <x:c r="F60" s="112" t="str">
        <x:f>IF(P60=0,"Нет offer",IF(AND(J60&gt;0,N60&gt;0),"Цена + остаток",IF(J60&gt;0,"Цена, без остатка",IF(N60&gt;0,"Остаток без цены","Нет цены и остатка"))))</x:f>
        <x:v>Цена, без остатка</x:v>
      </x:c>
      <x:c r="G60" s="112" t="str">
        <x:f>IF(J60&gt;0,"Да","Нет")</x:f>
        <x:v>Да</x:v>
      </x:c>
      <x:c r="H60" s="109" t="n">
        <x:v>299</x:v>
      </x:c>
      <x:c r="I60" s="109" t="n">
        <x:v>329</x:v>
      </x:c>
      <x:c r="J60" s="109" t="n">
        <x:v>395</x:v>
      </x:c>
      <x:c r="K60" s="112" t="str">
        <x:f>IF(N60&gt;0,"Да","Нет")</x:f>
        <x:v>Нет</x:v>
      </x:c>
      <x:c r="L60" s="109" t="n">
        <x:v>0</x:v>
      </x:c>
      <x:c r="M60" s="109" t="n">
        <x:v>0</x:v>
      </x:c>
      <x:c r="N60" s="109" t="n">
        <x:v>0</x:v>
      </x:c>
      <x:c r="O60" s="109" t="n">
        <x:v>0</x:v>
      </x:c>
      <x:c r="P60" s="109" t="n">
        <x:v>396</x:v>
      </x:c>
      <x:c r="Q60" s="113" t="n">
        <x:v>46261</x:v>
      </x:c>
      <x:c r="R60" s="114" t="n">
        <x:v>46247.12868055556</x:v>
      </x:c>
      <x:c r="S60" s="108" t="str">
        <x:v>GBU000018</x:v>
      </x:c>
    </x:row>
    <x:row r="61">
      <x:c r="A61" s="108" t="str">
        <x:v>GBU000018-6</x:v>
      </x:c>
      <x:c r="B61" s="107" t="str">
        <x:v>Масло для губ GBU000018 желтый</x:v>
      </x:c>
      <x:c r="C61" s="108" t="str">
        <x:v>GBU000018F0001</x:v>
      </x:c>
      <x:c r="D61" s="108" t="str">
        <x:v>GBU000018</x:v>
      </x:c>
      <x:c r="E61" s="112" t="str">
        <x:v>CHECK</x:v>
      </x:c>
      <x:c r="F61" s="112" t="str">
        <x:f>IF(P61=0,"Нет offer",IF(AND(J61&gt;0,N61&gt;0),"Цена + остаток",IF(J61&gt;0,"Цена, без остатка",IF(N61&gt;0,"Остаток без цены","Нет цены и остатка"))))</x:f>
        <x:v>Цена, без остатка</x:v>
      </x:c>
      <x:c r="G61" s="112" t="str">
        <x:f>IF(J61&gt;0,"Да","Нет")</x:f>
        <x:v>Да</x:v>
      </x:c>
      <x:c r="H61" s="109" t="n">
        <x:v>299</x:v>
      </x:c>
      <x:c r="I61" s="109" t="n">
        <x:v>329</x:v>
      </x:c>
      <x:c r="J61" s="109" t="n">
        <x:v>395</x:v>
      </x:c>
      <x:c r="K61" s="112" t="str">
        <x:f>IF(N61&gt;0,"Да","Нет")</x:f>
        <x:v>Нет</x:v>
      </x:c>
      <x:c r="L61" s="109" t="n">
        <x:v>0</x:v>
      </x:c>
      <x:c r="M61" s="109" t="n">
        <x:v>0</x:v>
      </x:c>
      <x:c r="N61" s="109" t="n">
        <x:v>0</x:v>
      </x:c>
      <x:c r="O61" s="109" t="n">
        <x:v>0</x:v>
      </x:c>
      <x:c r="P61" s="109" t="n">
        <x:v>396</x:v>
      </x:c>
      <x:c r="Q61" s="113" t="n">
        <x:v>46261</x:v>
      </x:c>
      <x:c r="R61" s="114" t="n">
        <x:v>46247.12868055556</x:v>
      </x:c>
      <x:c r="S61" s="108" t="str">
        <x:v>GBU000018</x:v>
      </x:c>
    </x:row>
    <x:row r="62">
      <x:c r="A62" s="108" t="str">
        <x:v>GBU000019-1</x:v>
      </x:c>
      <x:c r="B62" s="107" t="str">
        <x:v>Контуринг GBU000019 коричневый</x:v>
      </x:c>
      <x:c r="C62" s="108" t="str">
        <x:v>GBU000019F0001</x:v>
      </x:c>
      <x:c r="D62" s="108" t="str">
        <x:v>GBU000019</x:v>
      </x:c>
      <x:c r="E62" s="112" t="str">
        <x:v>CHECK</x:v>
      </x:c>
      <x:c r="F62" s="112" t="str">
        <x:f>IF(P62=0,"Нет offer",IF(AND(J62&gt;0,N62&gt;0),"Цена + остаток",IF(J62&gt;0,"Цена, без остатка",IF(N62&gt;0,"Остаток без цены","Нет цены и остатка"))))</x:f>
        <x:v>Цена, без остатка</x:v>
      </x:c>
      <x:c r="G62" s="112" t="str">
        <x:f>IF(J62&gt;0,"Да","Нет")</x:f>
        <x:v>Да</x:v>
      </x:c>
      <x:c r="H62" s="109" t="n">
        <x:v>799</x:v>
      </x:c>
      <x:c r="I62" s="109" t="n">
        <x:v>879</x:v>
      </x:c>
      <x:c r="J62" s="109" t="n">
        <x:v>395</x:v>
      </x:c>
      <x:c r="K62" s="112" t="str">
        <x:f>IF(N62&gt;0,"Да","Нет")</x:f>
        <x:v>Нет</x:v>
      </x:c>
      <x:c r="L62" s="109" t="n">
        <x:v>0</x:v>
      </x:c>
      <x:c r="M62" s="109" t="n">
        <x:v>0</x:v>
      </x:c>
      <x:c r="N62" s="109" t="n">
        <x:v>0</x:v>
      </x:c>
      <x:c r="O62" s="109" t="n">
        <x:v>0</x:v>
      </x:c>
      <x:c r="P62" s="109" t="n">
        <x:v>396</x:v>
      </x:c>
      <x:c r="Q62" s="113" t="n">
        <x:v>46261</x:v>
      </x:c>
      <x:c r="R62" s="114" t="n">
        <x:v>46247.12866898148</x:v>
      </x:c>
      <x:c r="S62" s="108"/>
    </x:row>
    <x:row r="63">
      <x:c r="A63" s="108" t="str">
        <x:v>GBU000019-2</x:v>
      </x:c>
      <x:c r="B63" s="107" t="str">
        <x:v>Контуринг GBU000019 темно-бежевый</x:v>
      </x:c>
      <x:c r="C63" s="108" t="str">
        <x:v>GBU000019F0002</x:v>
      </x:c>
      <x:c r="D63" s="108" t="str">
        <x:v>GBU000019</x:v>
      </x:c>
      <x:c r="E63" s="112" t="str">
        <x:v>CHECK</x:v>
      </x:c>
      <x:c r="F63" s="112" t="str">
        <x:f>IF(P63=0,"Нет offer",IF(AND(J63&gt;0,N63&gt;0),"Цена + остаток",IF(J63&gt;0,"Цена, без остатка",IF(N63&gt;0,"Остаток без цены","Нет цены и остатка"))))</x:f>
        <x:v>Цена, без остатка</x:v>
      </x:c>
      <x:c r="G63" s="112" t="str">
        <x:f>IF(J63&gt;0,"Да","Нет")</x:f>
        <x:v>Да</x:v>
      </x:c>
      <x:c r="H63" s="109" t="n">
        <x:v>799</x:v>
      </x:c>
      <x:c r="I63" s="109" t="n">
        <x:v>879</x:v>
      </x:c>
      <x:c r="J63" s="109" t="n">
        <x:v>395</x:v>
      </x:c>
      <x:c r="K63" s="112" t="str">
        <x:f>IF(N63&gt;0,"Да","Нет")</x:f>
        <x:v>Нет</x:v>
      </x:c>
      <x:c r="L63" s="109" t="n">
        <x:v>0</x:v>
      </x:c>
      <x:c r="M63" s="109" t="n">
        <x:v>0</x:v>
      </x:c>
      <x:c r="N63" s="109" t="n">
        <x:v>0</x:v>
      </x:c>
      <x:c r="O63" s="109" t="n">
        <x:v>0</x:v>
      </x:c>
      <x:c r="P63" s="109" t="n">
        <x:v>396</x:v>
      </x:c>
      <x:c r="Q63" s="113" t="n">
        <x:v>46261</x:v>
      </x:c>
      <x:c r="R63" s="114" t="n">
        <x:v>46247.12866898148</x:v>
      </x:c>
      <x:c r="S63" s="108"/>
    </x:row>
    <x:row r="64">
      <x:c r="A64" s="108" t="str">
        <x:v>GBU000020-1</x:v>
      </x:c>
      <x:c r="B64" s="107" t="str">
        <x:v>Румяна GBU000020 розовый/бежевый</x:v>
      </x:c>
      <x:c r="C64" s="108" t="str">
        <x:v>GBU000020F0002</x:v>
      </x:c>
      <x:c r="D64" s="108" t="str">
        <x:v>GBU000020</x:v>
      </x:c>
      <x:c r="E64" s="112" t="str">
        <x:v>CHECK</x:v>
      </x:c>
      <x:c r="F64" s="112" t="str">
        <x:f>IF(P64=0,"Нет offer",IF(AND(J64&gt;0,N64&gt;0),"Цена + остаток",IF(J64&gt;0,"Цена, без остатка",IF(N64&gt;0,"Остаток без цены","Нет цены и остатка"))))</x:f>
        <x:v>Цена + остаток</x:v>
      </x:c>
      <x:c r="G64" s="112" t="str">
        <x:f>IF(J64&gt;0,"Да","Нет")</x:f>
        <x:v>Да</x:v>
      </x:c>
      <x:c r="H64" s="109" t="n">
        <x:v>299</x:v>
      </x:c>
      <x:c r="I64" s="109" t="n">
        <x:v>329</x:v>
      </x:c>
      <x:c r="J64" s="109" t="n">
        <x:v>395</x:v>
      </x:c>
      <x:c r="K64" s="112" t="str">
        <x:f>IF(N64&gt;0,"Да","Нет")</x:f>
        <x:v>Да</x:v>
      </x:c>
      <x:c r="L64" s="109" t="n">
        <x:v>638</x:v>
      </x:c>
      <x:c r="M64" s="109" t="n">
        <x:v>79</x:v>
      </x:c>
      <x:c r="N64" s="109" t="n">
        <x:v>48</x:v>
      </x:c>
      <x:c r="O64" s="109" t="n">
        <x:v>48</x:v>
      </x:c>
      <x:c r="P64" s="109" t="n">
        <x:v>396</x:v>
      </x:c>
      <x:c r="Q64" s="113" t="n">
        <x:v>46261</x:v>
      </x:c>
      <x:c r="R64" s="114" t="n">
        <x:v>46253.49681712963</x:v>
      </x:c>
      <x:c r="S64" s="108"/>
    </x:row>
    <x:row r="65">
      <x:c r="A65" s="108" t="str">
        <x:v>GBU000020-2</x:v>
      </x:c>
      <x:c r="B65" s="107" t="str">
        <x:v>Румяна GBU000020 малиновый</x:v>
      </x:c>
      <x:c r="C65" s="108" t="str">
        <x:v>GBU000020F0001</x:v>
      </x:c>
      <x:c r="D65" s="108" t="str">
        <x:v>GBU000020</x:v>
      </x:c>
      <x:c r="E65" s="112" t="str">
        <x:v>CHECK</x:v>
      </x:c>
      <x:c r="F65" s="112" t="str">
        <x:f>IF(P65=0,"Нет offer",IF(AND(J65&gt;0,N65&gt;0),"Цена + остаток",IF(J65&gt;0,"Цена, без остатка",IF(N65&gt;0,"Остаток без цены","Нет цены и остатка"))))</x:f>
        <x:v>Цена + остаток</x:v>
      </x:c>
      <x:c r="G65" s="112" t="str">
        <x:f>IF(J65&gt;0,"Да","Нет")</x:f>
        <x:v>Да</x:v>
      </x:c>
      <x:c r="H65" s="109" t="n">
        <x:v>299</x:v>
      </x:c>
      <x:c r="I65" s="109" t="n">
        <x:v>329</x:v>
      </x:c>
      <x:c r="J65" s="109" t="n">
        <x:v>395</x:v>
      </x:c>
      <x:c r="K65" s="112" t="str">
        <x:f>IF(N65&gt;0,"Да","Нет")</x:f>
        <x:v>Да</x:v>
      </x:c>
      <x:c r="L65" s="109" t="n">
        <x:v>611</x:v>
      </x:c>
      <x:c r="M65" s="109" t="n">
        <x:v>76</x:v>
      </x:c>
      <x:c r="N65" s="109" t="n">
        <x:v>45</x:v>
      </x:c>
      <x:c r="O65" s="109" t="n">
        <x:v>45</x:v>
      </x:c>
      <x:c r="P65" s="109" t="n">
        <x:v>396</x:v>
      </x:c>
      <x:c r="Q65" s="113" t="n">
        <x:v>46261</x:v>
      </x:c>
      <x:c r="R65" s="114" t="n">
        <x:v>46253.524618055555</x:v>
      </x:c>
      <x:c r="S65" s="108"/>
    </x:row>
    <x:row r="66">
      <x:c r="A66" s="108" t="str">
        <x:v>GBU000020-3</x:v>
      </x:c>
      <x:c r="B66" s="107" t="str">
        <x:v>Румяна GBU000020 ярко-розовый</x:v>
      </x:c>
      <x:c r="C66" s="108" t="str">
        <x:v>GBU000020F0003</x:v>
      </x:c>
      <x:c r="D66" s="108" t="str">
        <x:v>GBU000020</x:v>
      </x:c>
      <x:c r="E66" s="112" t="str">
        <x:v>CHECK</x:v>
      </x:c>
      <x:c r="F66" s="112" t="str">
        <x:f>IF(P66=0,"Нет offer",IF(AND(J66&gt;0,N66&gt;0),"Цена + остаток",IF(J66&gt;0,"Цена, без остатка",IF(N66&gt;0,"Остаток без цены","Нет цены и остатка"))))</x:f>
        <x:v>Цена + остаток</x:v>
      </x:c>
      <x:c r="G66" s="112" t="str">
        <x:f>IF(J66&gt;0,"Да","Нет")</x:f>
        <x:v>Да</x:v>
      </x:c>
      <x:c r="H66" s="109" t="n">
        <x:v>299</x:v>
      </x:c>
      <x:c r="I66" s="109" t="n">
        <x:v>329</x:v>
      </x:c>
      <x:c r="J66" s="109" t="n">
        <x:v>395</x:v>
      </x:c>
      <x:c r="K66" s="112" t="str">
        <x:f>IF(N66&gt;0,"Да","Нет")</x:f>
        <x:v>Да</x:v>
      </x:c>
      <x:c r="L66" s="109" t="n">
        <x:v>635</x:v>
      </x:c>
      <x:c r="M66" s="109" t="n">
        <x:v>79</x:v>
      </x:c>
      <x:c r="N66" s="109" t="n">
        <x:v>48</x:v>
      </x:c>
      <x:c r="O66" s="109" t="n">
        <x:v>48</x:v>
      </x:c>
      <x:c r="P66" s="109" t="n">
        <x:v>396</x:v>
      </x:c>
      <x:c r="Q66" s="113" t="n">
        <x:v>46261</x:v>
      </x:c>
      <x:c r="R66" s="114" t="n">
        <x:v>46253.49681712963</x:v>
      </x:c>
      <x:c r="S66" s="108"/>
    </x:row>
    <x:row r="67">
      <x:c r="A67" s="108" t="str">
        <x:v>GBU000021-1</x:v>
      </x:c>
      <x:c r="B67" s="107" t="str">
        <x:v>Набор масел для губ GBU000021 разноцветный/синий</x:v>
      </x:c>
      <x:c r="C67" s="108" t="str">
        <x:v>GBU000021F0002</x:v>
      </x:c>
      <x:c r="D67" s="108" t="str">
        <x:v>GBU000021</x:v>
      </x:c>
      <x:c r="E67" s="112" t="str">
        <x:v>CHECK</x:v>
      </x:c>
      <x:c r="F67" s="112" t="str">
        <x:f>IF(P67=0,"Нет offer",IF(AND(J67&gt;0,N67&gt;0),"Цена + остаток",IF(J67&gt;0,"Цена, без остатка",IF(N67&gt;0,"Остаток без цены","Нет цены и остатка"))))</x:f>
        <x:v>Цена, без остатка</x:v>
      </x:c>
      <x:c r="G67" s="112" t="str">
        <x:f>IF(J67&gt;0,"Да","Нет")</x:f>
        <x:v>Да</x:v>
      </x:c>
      <x:c r="H67" s="109" t="n">
        <x:v>849</x:v>
      </x:c>
      <x:c r="I67" s="109" t="n">
        <x:v>929</x:v>
      </x:c>
      <x:c r="J67" s="109" t="n">
        <x:v>395</x:v>
      </x:c>
      <x:c r="K67" s="112" t="str">
        <x:f>IF(N67&gt;0,"Да","Нет")</x:f>
        <x:v>Нет</x:v>
      </x:c>
      <x:c r="L67" s="109" t="n">
        <x:v>0</x:v>
      </x:c>
      <x:c r="M67" s="109" t="n">
        <x:v>0</x:v>
      </x:c>
      <x:c r="N67" s="109" t="n">
        <x:v>0</x:v>
      </x:c>
      <x:c r="O67" s="109" t="n">
        <x:v>0</x:v>
      </x:c>
      <x:c r="P67" s="109" t="n">
        <x:v>396</x:v>
      </x:c>
      <x:c r="Q67" s="113" t="n">
        <x:v>46261</x:v>
      </x:c>
      <x:c r="R67" s="114" t="n">
        <x:v>46247.12869212963</x:v>
      </x:c>
      <x:c r="S67" s="108"/>
    </x:row>
    <x:row r="68">
      <x:c r="A68" s="108" t="str">
        <x:v>GBU000021-2</x:v>
      </x:c>
      <x:c r="B68" s="107" t="str">
        <x:v>Набор масел для губ GBU000021 разноцветный/желтый</x:v>
      </x:c>
      <x:c r="C68" s="108" t="str">
        <x:v>GBU000021F0001</x:v>
      </x:c>
      <x:c r="D68" s="108" t="str">
        <x:v>GBU000021</x:v>
      </x:c>
      <x:c r="E68" s="112" t="str">
        <x:v>CHECK</x:v>
      </x:c>
      <x:c r="F68" s="112" t="str">
        <x:f>IF(P68=0,"Нет offer",IF(AND(J68&gt;0,N68&gt;0),"Цена + остаток",IF(J68&gt;0,"Цена, без остатка",IF(N68&gt;0,"Остаток без цены","Нет цены и остатка"))))</x:f>
        <x:v>Цена, без остатка</x:v>
      </x:c>
      <x:c r="G68" s="112" t="str">
        <x:f>IF(J68&gt;0,"Да","Нет")</x:f>
        <x:v>Да</x:v>
      </x:c>
      <x:c r="H68" s="109" t="n">
        <x:v>849</x:v>
      </x:c>
      <x:c r="I68" s="109" t="n">
        <x:v>929</x:v>
      </x:c>
      <x:c r="J68" s="109" t="n">
        <x:v>395</x:v>
      </x:c>
      <x:c r="K68" s="112" t="str">
        <x:f>IF(N68&gt;0,"Да","Нет")</x:f>
        <x:v>Нет</x:v>
      </x:c>
      <x:c r="L68" s="109" t="n">
        <x:v>0</x:v>
      </x:c>
      <x:c r="M68" s="109" t="n">
        <x:v>0</x:v>
      </x:c>
      <x:c r="N68" s="109" t="n">
        <x:v>0</x:v>
      </x:c>
      <x:c r="O68" s="109" t="n">
        <x:v>0</x:v>
      </x:c>
      <x:c r="P68" s="109" t="n">
        <x:v>396</x:v>
      </x:c>
      <x:c r="Q68" s="113" t="n">
        <x:v>46261</x:v>
      </x:c>
      <x:c r="R68" s="114" t="n">
        <x:v>46247.12869212963</x:v>
      </x:c>
      <x:c r="S68" s="108"/>
    </x:row>
    <x:row r="69">
      <x:c r="A69" s="108" t="str">
        <x:v>GBU000022-1</x:v>
      </x:c>
      <x:c r="B69" s="107" t="str">
        <x:v>Бальзам и блеск для губ GBU000022 оранжевый</x:v>
      </x:c>
      <x:c r="C69" s="108" t="str">
        <x:v>GBU000022F0004</x:v>
      </x:c>
      <x:c r="D69" s="108" t="str">
        <x:v>GBU000022</x:v>
      </x:c>
      <x:c r="E69" s="112" t="str">
        <x:v>CHECK</x:v>
      </x:c>
      <x:c r="F69" s="112" t="str">
        <x:f>IF(P69=0,"Нет offer",IF(AND(J69&gt;0,N69&gt;0),"Цена + остаток",IF(J69&gt;0,"Цена, без остатка",IF(N69&gt;0,"Остаток без цены","Нет цены и остатка"))))</x:f>
        <x:v>Цена, без остатка</x:v>
      </x:c>
      <x:c r="G69" s="112" t="str">
        <x:f>IF(J69&gt;0,"Да","Нет")</x:f>
        <x:v>Да</x:v>
      </x:c>
      <x:c r="H69" s="109" t="n">
        <x:v>699</x:v>
      </x:c>
      <x:c r="I69" s="109" t="n">
        <x:v>769</x:v>
      </x:c>
      <x:c r="J69" s="109" t="n">
        <x:v>395</x:v>
      </x:c>
      <x:c r="K69" s="112" t="str">
        <x:f>IF(N69&gt;0,"Да","Нет")</x:f>
        <x:v>Нет</x:v>
      </x:c>
      <x:c r="L69" s="109" t="n">
        <x:v>0</x:v>
      </x:c>
      <x:c r="M69" s="109" t="n">
        <x:v>0</x:v>
      </x:c>
      <x:c r="N69" s="109" t="n">
        <x:v>0</x:v>
      </x:c>
      <x:c r="O69" s="109" t="n">
        <x:v>0</x:v>
      </x:c>
      <x:c r="P69" s="109" t="n">
        <x:v>396</x:v>
      </x:c>
      <x:c r="Q69" s="113" t="n">
        <x:v>46261</x:v>
      </x:c>
      <x:c r="R69" s="114" t="n">
        <x:v>46247.12866898148</x:v>
      </x:c>
      <x:c r="S69" s="108" t="str">
        <x:v>GBU000022</x:v>
      </x:c>
    </x:row>
    <x:row r="70">
      <x:c r="A70" s="108" t="str">
        <x:v>GBU000022-2</x:v>
      </x:c>
      <x:c r="B70" s="107" t="str">
        <x:v>Бальзам и блеск для губ GBU000022 желтый</x:v>
      </x:c>
      <x:c r="C70" s="108" t="str">
        <x:v>GBU000022F0001</x:v>
      </x:c>
      <x:c r="D70" s="108" t="str">
        <x:v>GBU000022</x:v>
      </x:c>
      <x:c r="E70" s="112" t="str">
        <x:v>CHECK</x:v>
      </x:c>
      <x:c r="F70" s="112" t="str">
        <x:f>IF(P70=0,"Нет offer",IF(AND(J70&gt;0,N70&gt;0),"Цена + остаток",IF(J70&gt;0,"Цена, без остатка",IF(N70&gt;0,"Остаток без цены","Нет цены и остатка"))))</x:f>
        <x:v>Цена, без остатка</x:v>
      </x:c>
      <x:c r="G70" s="112" t="str">
        <x:f>IF(J70&gt;0,"Да","Нет")</x:f>
        <x:v>Да</x:v>
      </x:c>
      <x:c r="H70" s="109" t="n">
        <x:v>699</x:v>
      </x:c>
      <x:c r="I70" s="109" t="n">
        <x:v>769</x:v>
      </x:c>
      <x:c r="J70" s="109" t="n">
        <x:v>395</x:v>
      </x:c>
      <x:c r="K70" s="112" t="str">
        <x:f>IF(N70&gt;0,"Да","Нет")</x:f>
        <x:v>Нет</x:v>
      </x:c>
      <x:c r="L70" s="109" t="n">
        <x:v>0</x:v>
      </x:c>
      <x:c r="M70" s="109" t="n">
        <x:v>0</x:v>
      </x:c>
      <x:c r="N70" s="109" t="n">
        <x:v>0</x:v>
      </x:c>
      <x:c r="O70" s="109" t="n">
        <x:v>0</x:v>
      </x:c>
      <x:c r="P70" s="109" t="n">
        <x:v>396</x:v>
      </x:c>
      <x:c r="Q70" s="113" t="n">
        <x:v>46261</x:v>
      </x:c>
      <x:c r="R70" s="114" t="n">
        <x:v>46247.12869212963</x:v>
      </x:c>
      <x:c r="S70" s="108" t="str">
        <x:v>GBU000022</x:v>
      </x:c>
    </x:row>
    <x:row r="71">
      <x:c r="A71" s="108" t="str">
        <x:v>GBU000022-3</x:v>
      </x:c>
      <x:c r="B71" s="107" t="str">
        <x:v>Бальзам и блеск для губ GBU000022 розовый</x:v>
      </x:c>
      <x:c r="C71" s="108" t="str">
        <x:v>GBU000022F0005</x:v>
      </x:c>
      <x:c r="D71" s="108" t="str">
        <x:v>GBU000022</x:v>
      </x:c>
      <x:c r="E71" s="112" t="str">
        <x:v>CHECK</x:v>
      </x:c>
      <x:c r="F71" s="112" t="str">
        <x:f>IF(P71=0,"Нет offer",IF(AND(J71&gt;0,N71&gt;0),"Цена + остаток",IF(J71&gt;0,"Цена, без остатка",IF(N71&gt;0,"Остаток без цены","Нет цены и остатка"))))</x:f>
        <x:v>Цена, без остатка</x:v>
      </x:c>
      <x:c r="G71" s="112" t="str">
        <x:f>IF(J71&gt;0,"Да","Нет")</x:f>
        <x:v>Да</x:v>
      </x:c>
      <x:c r="H71" s="109" t="n">
        <x:v>699</x:v>
      </x:c>
      <x:c r="I71" s="109" t="n">
        <x:v>769</x:v>
      </x:c>
      <x:c r="J71" s="109" t="n">
        <x:v>395</x:v>
      </x:c>
      <x:c r="K71" s="112" t="str">
        <x:f>IF(N71&gt;0,"Да","Нет")</x:f>
        <x:v>Нет</x:v>
      </x:c>
      <x:c r="L71" s="109" t="n">
        <x:v>0</x:v>
      </x:c>
      <x:c r="M71" s="109" t="n">
        <x:v>0</x:v>
      </x:c>
      <x:c r="N71" s="109" t="n">
        <x:v>0</x:v>
      </x:c>
      <x:c r="O71" s="109" t="n">
        <x:v>0</x:v>
      </x:c>
      <x:c r="P71" s="109" t="n">
        <x:v>396</x:v>
      </x:c>
      <x:c r="Q71" s="113" t="n">
        <x:v>46261</x:v>
      </x:c>
      <x:c r="R71" s="114" t="n">
        <x:v>46247.12868055556</x:v>
      </x:c>
      <x:c r="S71" s="108" t="str">
        <x:v>GBU000022</x:v>
      </x:c>
    </x:row>
    <x:row r="72">
      <x:c r="A72" s="108" t="str">
        <x:v>GBU000022-4</x:v>
      </x:c>
      <x:c r="B72" s="107" t="str">
        <x:v>Бальзам и блеск для губ GBU000022 лиловый</x:v>
      </x:c>
      <x:c r="C72" s="108" t="str">
        <x:v>GBU000022F0003</x:v>
      </x:c>
      <x:c r="D72" s="108" t="str">
        <x:v>GBU000022</x:v>
      </x:c>
      <x:c r="E72" s="112" t="str">
        <x:v>CHECK</x:v>
      </x:c>
      <x:c r="F72" s="112" t="str">
        <x:f>IF(P72=0,"Нет offer",IF(AND(J72&gt;0,N72&gt;0),"Цена + остаток",IF(J72&gt;0,"Цена, без остатка",IF(N72&gt;0,"Остаток без цены","Нет цены и остатка"))))</x:f>
        <x:v>Цена, без остатка</x:v>
      </x:c>
      <x:c r="G72" s="112" t="str">
        <x:f>IF(J72&gt;0,"Да","Нет")</x:f>
        <x:v>Да</x:v>
      </x:c>
      <x:c r="H72" s="109" t="n">
        <x:v>699</x:v>
      </x:c>
      <x:c r="I72" s="109" t="n">
        <x:v>769</x:v>
      </x:c>
      <x:c r="J72" s="109" t="n">
        <x:v>395</x:v>
      </x:c>
      <x:c r="K72" s="112" t="str">
        <x:f>IF(N72&gt;0,"Да","Нет")</x:f>
        <x:v>Нет</x:v>
      </x:c>
      <x:c r="L72" s="109" t="n">
        <x:v>0</x:v>
      </x:c>
      <x:c r="M72" s="109" t="n">
        <x:v>0</x:v>
      </x:c>
      <x:c r="N72" s="109" t="n">
        <x:v>0</x:v>
      </x:c>
      <x:c r="O72" s="109" t="n">
        <x:v>0</x:v>
      </x:c>
      <x:c r="P72" s="109" t="n">
        <x:v>396</x:v>
      </x:c>
      <x:c r="Q72" s="113" t="n">
        <x:v>46261</x:v>
      </x:c>
      <x:c r="R72" s="114" t="n">
        <x:v>46247.12866898148</x:v>
      </x:c>
      <x:c r="S72" s="108" t="str">
        <x:v>GBU000022</x:v>
      </x:c>
    </x:row>
    <x:row r="73">
      <x:c r="A73" s="108" t="str">
        <x:v>GBU000022-5</x:v>
      </x:c>
      <x:c r="B73" s="107" t="str">
        <x:v>Бальзам и блеск для губ GBU000022 синий</x:v>
      </x:c>
      <x:c r="C73" s="108" t="str">
        <x:v>GBU000022F0006</x:v>
      </x:c>
      <x:c r="D73" s="108" t="str">
        <x:v>GBU000022</x:v>
      </x:c>
      <x:c r="E73" s="112" t="str">
        <x:v>CHECK</x:v>
      </x:c>
      <x:c r="F73" s="112" t="str">
        <x:f>IF(P73=0,"Нет offer",IF(AND(J73&gt;0,N73&gt;0),"Цена + остаток",IF(J73&gt;0,"Цена, без остатка",IF(N73&gt;0,"Остаток без цены","Нет цены и остатка"))))</x:f>
        <x:v>Цена, без остатка</x:v>
      </x:c>
      <x:c r="G73" s="112" t="str">
        <x:f>IF(J73&gt;0,"Да","Нет")</x:f>
        <x:v>Да</x:v>
      </x:c>
      <x:c r="H73" s="109" t="n">
        <x:v>699</x:v>
      </x:c>
      <x:c r="I73" s="109" t="n">
        <x:v>769</x:v>
      </x:c>
      <x:c r="J73" s="109" t="n">
        <x:v>395</x:v>
      </x:c>
      <x:c r="K73" s="112" t="str">
        <x:f>IF(N73&gt;0,"Да","Нет")</x:f>
        <x:v>Нет</x:v>
      </x:c>
      <x:c r="L73" s="109" t="n">
        <x:v>0</x:v>
      </x:c>
      <x:c r="M73" s="109" t="n">
        <x:v>0</x:v>
      </x:c>
      <x:c r="N73" s="109" t="n">
        <x:v>0</x:v>
      </x:c>
      <x:c r="O73" s="109" t="n">
        <x:v>0</x:v>
      </x:c>
      <x:c r="P73" s="109" t="n">
        <x:v>396</x:v>
      </x:c>
      <x:c r="Q73" s="113" t="n">
        <x:v>46261</x:v>
      </x:c>
      <x:c r="R73" s="114" t="n">
        <x:v>46247.12866898148</x:v>
      </x:c>
      <x:c r="S73" s="108" t="str">
        <x:v>GBU000022</x:v>
      </x:c>
    </x:row>
    <x:row r="74">
      <x:c r="A74" s="108" t="str">
        <x:v>GBU000022-6</x:v>
      </x:c>
      <x:c r="B74" s="107" t="str">
        <x:v>Бальзам и блеск для губ GBU000022 зеленый</x:v>
      </x:c>
      <x:c r="C74" s="108" t="str">
        <x:v>GBU000022F0002</x:v>
      </x:c>
      <x:c r="D74" s="108" t="str">
        <x:v>GBU000022</x:v>
      </x:c>
      <x:c r="E74" s="112" t="str">
        <x:v>CHECK</x:v>
      </x:c>
      <x:c r="F74" s="112" t="str">
        <x:f>IF(P74=0,"Нет offer",IF(AND(J74&gt;0,N74&gt;0),"Цена + остаток",IF(J74&gt;0,"Цена, без остатка",IF(N74&gt;0,"Остаток без цены","Нет цены и остатка"))))</x:f>
        <x:v>Цена, без остатка</x:v>
      </x:c>
      <x:c r="G74" s="112" t="str">
        <x:f>IF(J74&gt;0,"Да","Нет")</x:f>
        <x:v>Да</x:v>
      </x:c>
      <x:c r="H74" s="109" t="n">
        <x:v>699</x:v>
      </x:c>
      <x:c r="I74" s="109" t="n">
        <x:v>769</x:v>
      </x:c>
      <x:c r="J74" s="109" t="n">
        <x:v>395</x:v>
      </x:c>
      <x:c r="K74" s="112" t="str">
        <x:f>IF(N74&gt;0,"Да","Нет")</x:f>
        <x:v>Нет</x:v>
      </x:c>
      <x:c r="L74" s="109" t="n">
        <x:v>0</x:v>
      </x:c>
      <x:c r="M74" s="109" t="n">
        <x:v>0</x:v>
      </x:c>
      <x:c r="N74" s="109" t="n">
        <x:v>0</x:v>
      </x:c>
      <x:c r="O74" s="109" t="n">
        <x:v>0</x:v>
      </x:c>
      <x:c r="P74" s="109" t="n">
        <x:v>396</x:v>
      </x:c>
      <x:c r="Q74" s="113" t="n">
        <x:v>46261</x:v>
      </x:c>
      <x:c r="R74" s="114" t="n">
        <x:v>46247.12869212963</x:v>
      </x:c>
      <x:c r="S74" s="108" t="str">
        <x:v>GBU000022</x:v>
      </x:c>
    </x:row>
    <x:row r="75">
      <x:c r="A75" s="108" t="str">
        <x:v>GBU000024-1</x:v>
      </x:c>
      <x:c r="B75" s="107" t="str">
        <x:v>Масло для губ GBU000024 желтый</x:v>
      </x:c>
      <x:c r="C75" s="108" t="str">
        <x:v>GBU000024F0001</x:v>
      </x:c>
      <x:c r="D75" s="108" t="str">
        <x:v>GBU000024</x:v>
      </x:c>
      <x:c r="E75" s="112" t="str">
        <x:v>CHECK</x:v>
      </x:c>
      <x:c r="F75" s="112" t="str">
        <x:f>IF(P75=0,"Нет offer",IF(AND(J75&gt;0,N75&gt;0),"Цена + остаток",IF(J75&gt;0,"Цена, без остатка",IF(N75&gt;0,"Остаток без цены","Нет цены и остатка"))))</x:f>
        <x:v>Цена, без остатка</x:v>
      </x:c>
      <x:c r="G75" s="112" t="str">
        <x:f>IF(J75&gt;0,"Да","Нет")</x:f>
        <x:v>Да</x:v>
      </x:c>
      <x:c r="H75" s="109" t="n">
        <x:v>399</x:v>
      </x:c>
      <x:c r="I75" s="109" t="n">
        <x:v>439</x:v>
      </x:c>
      <x:c r="J75" s="109" t="n">
        <x:v>395</x:v>
      </x:c>
      <x:c r="K75" s="112" t="str">
        <x:f>IF(N75&gt;0,"Да","Нет")</x:f>
        <x:v>Нет</x:v>
      </x:c>
      <x:c r="L75" s="109" t="n">
        <x:v>0</x:v>
      </x:c>
      <x:c r="M75" s="109" t="n">
        <x:v>0</x:v>
      </x:c>
      <x:c r="N75" s="109" t="n">
        <x:v>0</x:v>
      </x:c>
      <x:c r="O75" s="109" t="n">
        <x:v>0</x:v>
      </x:c>
      <x:c r="P75" s="109" t="n">
        <x:v>396</x:v>
      </x:c>
      <x:c r="Q75" s="113" t="n">
        <x:v>46261</x:v>
      </x:c>
      <x:c r="R75" s="114" t="n">
        <x:v>46247.12869212963</x:v>
      </x:c>
      <x:c r="S75" s="108" t="str">
        <x:v>GBU000024</x:v>
      </x:c>
    </x:row>
    <x:row r="76">
      <x:c r="A76" s="108" t="str">
        <x:v>GBU000024-2</x:v>
      </x:c>
      <x:c r="B76" s="107" t="str">
        <x:v>Масло для губ GBU000024 красный</x:v>
      </x:c>
      <x:c r="C76" s="108" t="str">
        <x:v>GBU000024F0002</x:v>
      </x:c>
      <x:c r="D76" s="108" t="str">
        <x:v>GBU000024</x:v>
      </x:c>
      <x:c r="E76" s="112" t="str">
        <x:v>CHECK</x:v>
      </x:c>
      <x:c r="F76" s="112" t="str">
        <x:f>IF(P76=0,"Нет offer",IF(AND(J76&gt;0,N76&gt;0),"Цена + остаток",IF(J76&gt;0,"Цена, без остатка",IF(N76&gt;0,"Остаток без цены","Нет цены и остатка"))))</x:f>
        <x:v>Цена, без остатка</x:v>
      </x:c>
      <x:c r="G76" s="112" t="str">
        <x:f>IF(J76&gt;0,"Да","Нет")</x:f>
        <x:v>Да</x:v>
      </x:c>
      <x:c r="H76" s="109" t="n">
        <x:v>399</x:v>
      </x:c>
      <x:c r="I76" s="109" t="n">
        <x:v>439</x:v>
      </x:c>
      <x:c r="J76" s="109" t="n">
        <x:v>395</x:v>
      </x:c>
      <x:c r="K76" s="112" t="str">
        <x:f>IF(N76&gt;0,"Да","Нет")</x:f>
        <x:v>Нет</x:v>
      </x:c>
      <x:c r="L76" s="109" t="n">
        <x:v>0</x:v>
      </x:c>
      <x:c r="M76" s="109" t="n">
        <x:v>0</x:v>
      </x:c>
      <x:c r="N76" s="109" t="n">
        <x:v>0</x:v>
      </x:c>
      <x:c r="O76" s="109" t="n">
        <x:v>0</x:v>
      </x:c>
      <x:c r="P76" s="109" t="n">
        <x:v>396</x:v>
      </x:c>
      <x:c r="Q76" s="113" t="n">
        <x:v>46261</x:v>
      </x:c>
      <x:c r="R76" s="114" t="n">
        <x:v>46247.12869212963</x:v>
      </x:c>
      <x:c r="S76" s="108"/>
    </x:row>
    <x:row r="77">
      <x:c r="A77" s="108" t="str">
        <x:v>GBU000024-3</x:v>
      </x:c>
      <x:c r="B77" s="107" t="str">
        <x:v>Масло для губ GBU000024 лиловый</x:v>
      </x:c>
      <x:c r="C77" s="108" t="str">
        <x:v>GBU000024F0003</x:v>
      </x:c>
      <x:c r="D77" s="108" t="str">
        <x:v>GBU000024</x:v>
      </x:c>
      <x:c r="E77" s="112" t="str">
        <x:v>CHECK</x:v>
      </x:c>
      <x:c r="F77" s="112" t="str">
        <x:f>IF(P77=0,"Нет offer",IF(AND(J77&gt;0,N77&gt;0),"Цена + остаток",IF(J77&gt;0,"Цена, без остатка",IF(N77&gt;0,"Остаток без цены","Нет цены и остатка"))))</x:f>
        <x:v>Цена, без остатка</x:v>
      </x:c>
      <x:c r="G77" s="112" t="str">
        <x:f>IF(J77&gt;0,"Да","Нет")</x:f>
        <x:v>Да</x:v>
      </x:c>
      <x:c r="H77" s="109" t="n">
        <x:v>399</x:v>
      </x:c>
      <x:c r="I77" s="109" t="n">
        <x:v>439</x:v>
      </x:c>
      <x:c r="J77" s="109" t="n">
        <x:v>395</x:v>
      </x:c>
      <x:c r="K77" s="112" t="str">
        <x:f>IF(N77&gt;0,"Да","Нет")</x:f>
        <x:v>Нет</x:v>
      </x:c>
      <x:c r="L77" s="109" t="n">
        <x:v>0</x:v>
      </x:c>
      <x:c r="M77" s="109" t="n">
        <x:v>0</x:v>
      </x:c>
      <x:c r="N77" s="109" t="n">
        <x:v>0</x:v>
      </x:c>
      <x:c r="O77" s="109" t="n">
        <x:v>0</x:v>
      </x:c>
      <x:c r="P77" s="109" t="n">
        <x:v>396</x:v>
      </x:c>
      <x:c r="Q77" s="113" t="n">
        <x:v>46261</x:v>
      </x:c>
      <x:c r="R77" s="114" t="n">
        <x:v>46247.12869212963</x:v>
      </x:c>
      <x:c r="S77" s="108"/>
    </x:row>
    <x:row r="78">
      <x:c r="A78" s="108" t="str">
        <x:v>GBU000024-4</x:v>
      </x:c>
      <x:c r="B78" s="107" t="str">
        <x:v>Масло для губ GBU000024 розовый</x:v>
      </x:c>
      <x:c r="C78" s="108" t="str">
        <x:v>GBU000024F0004</x:v>
      </x:c>
      <x:c r="D78" s="108" t="str">
        <x:v>GBU000024</x:v>
      </x:c>
      <x:c r="E78" s="112" t="str">
        <x:v>CHECK</x:v>
      </x:c>
      <x:c r="F78" s="112" t="str">
        <x:f>IF(P78=0,"Нет offer",IF(AND(J78&gt;0,N78&gt;0),"Цена + остаток",IF(J78&gt;0,"Цена, без остатка",IF(N78&gt;0,"Остаток без цены","Нет цены и остатка"))))</x:f>
        <x:v>Цена, без остатка</x:v>
      </x:c>
      <x:c r="G78" s="112" t="str">
        <x:f>IF(J78&gt;0,"Да","Нет")</x:f>
        <x:v>Да</x:v>
      </x:c>
      <x:c r="H78" s="109" t="n">
        <x:v>399</x:v>
      </x:c>
      <x:c r="I78" s="109" t="n">
        <x:v>439</x:v>
      </x:c>
      <x:c r="J78" s="109" t="n">
        <x:v>395</x:v>
      </x:c>
      <x:c r="K78" s="112" t="str">
        <x:f>IF(N78&gt;0,"Да","Нет")</x:f>
        <x:v>Нет</x:v>
      </x:c>
      <x:c r="L78" s="109" t="n">
        <x:v>0</x:v>
      </x:c>
      <x:c r="M78" s="109" t="n">
        <x:v>0</x:v>
      </x:c>
      <x:c r="N78" s="109" t="n">
        <x:v>0</x:v>
      </x:c>
      <x:c r="O78" s="109" t="n">
        <x:v>0</x:v>
      </x:c>
      <x:c r="P78" s="109" t="n">
        <x:v>396</x:v>
      </x:c>
      <x:c r="Q78" s="113" t="n">
        <x:v>46261</x:v>
      </x:c>
      <x:c r="R78" s="114" t="n">
        <x:v>46247.12869212963</x:v>
      </x:c>
      <x:c r="S78" s="108"/>
    </x:row>
    <x:row r="79">
      <x:c r="A79" s="108" t="str">
        <x:v>GBU000025-1</x:v>
      </x:c>
      <x:c r="B79" s="107" t="str">
        <x:v>Влажные салфетки для снятия макияжа с ал GBU000025 серебристый</x:v>
      </x:c>
      <x:c r="C79" s="108" t="str">
        <x:v>GBU000025F0001</x:v>
      </x:c>
      <x:c r="D79" s="108" t="str">
        <x:v>GBU000025</x:v>
      </x:c>
      <x:c r="E79" s="112" t="str">
        <x:v>CHECK</x:v>
      </x:c>
      <x:c r="F79" s="112" t="str">
        <x:f>IF(P79=0,"Нет offer",IF(AND(J79&gt;0,N79&gt;0),"Цена + остаток",IF(J79&gt;0,"Цена, без остатка",IF(N79&gt;0,"Остаток без цены","Нет цены и остатка"))))</x:f>
        <x:v>Нет цены и остатка</x:v>
      </x:c>
      <x:c r="G79" s="112" t="str">
        <x:f>IF(J79&gt;0,"Да","Нет")</x:f>
        <x:v>Нет</x:v>
      </x:c>
      <x:c r="H79" s="109"/>
      <x:c r="I79" s="109"/>
      <x:c r="J79" s="109" t="n">
        <x:v>0</x:v>
      </x:c>
      <x:c r="K79" s="112" t="str">
        <x:f>IF(N79&gt;0,"Да","Нет")</x:f>
        <x:v>Нет</x:v>
      </x:c>
      <x:c r="L79" s="109" t="n">
        <x:v>0</x:v>
      </x:c>
      <x:c r="M79" s="109" t="n">
        <x:v>0</x:v>
      </x:c>
      <x:c r="N79" s="109" t="n">
        <x:v>0</x:v>
      </x:c>
      <x:c r="O79" s="109" t="n">
        <x:v>0</x:v>
      </x:c>
      <x:c r="P79" s="109" t="n">
        <x:v>396</x:v>
      </x:c>
      <x:c r="Q79" s="113" t="n">
        <x:v>46289</x:v>
      </x:c>
      <x:c r="R79" s="114" t="n">
        <x:v>46234.3253587963</x:v>
      </x:c>
      <x:c r="S79" s="108"/>
    </x:row>
    <x:row r="80">
      <x:c r="A80" s="108" t="str">
        <x:v>GBU000064-1</x:v>
      </x:c>
      <x:c r="B80" s="107" t="str">
        <x:v>Лайнер для губ GBU000064 малиновый</x:v>
      </x:c>
      <x:c r="C80" s="108" t="str">
        <x:v>GBU000064F0001</x:v>
      </x:c>
      <x:c r="D80" s="108" t="str">
        <x:v>GBU000064</x:v>
      </x:c>
      <x:c r="E80" s="112" t="str">
        <x:v>CHECK</x:v>
      </x:c>
      <x:c r="F80" s="112" t="str">
        <x:f>IF(P80=0,"Нет offer",IF(AND(J80&gt;0,N80&gt;0),"Цена + остаток",IF(J80&gt;0,"Цена, без остатка",IF(N80&gt;0,"Остаток без цены","Нет цены и остатка"))))</x:f>
        <x:v>Нет цены и остатка</x:v>
      </x:c>
      <x:c r="G80" s="112" t="str">
        <x:f>IF(J80&gt;0,"Да","Нет")</x:f>
        <x:v>Нет</x:v>
      </x:c>
      <x:c r="H80" s="109"/>
      <x:c r="I80" s="109"/>
      <x:c r="J80" s="109" t="n">
        <x:v>0</x:v>
      </x:c>
      <x:c r="K80" s="112" t="str">
        <x:f>IF(N80&gt;0,"Да","Нет")</x:f>
        <x:v>Нет</x:v>
      </x:c>
      <x:c r="L80" s="109" t="n">
        <x:v>0</x:v>
      </x:c>
      <x:c r="M80" s="109" t="n">
        <x:v>0</x:v>
      </x:c>
      <x:c r="N80" s="109" t="n">
        <x:v>0</x:v>
      </x:c>
      <x:c r="O80" s="109" t="n">
        <x:v>0</x:v>
      </x:c>
      <x:c r="P80" s="109" t="n">
        <x:v>396</x:v>
      </x:c>
      <x:c r="Q80" s="113" t="n">
        <x:v>46289</x:v>
      </x:c>
      <x:c r="R80" s="114" t="n">
        <x:v>46231.32576388889</x:v>
      </x:c>
      <x:c r="S80" s="108"/>
    </x:row>
    <x:row r="81">
      <x:c r="A81" s="108" t="str">
        <x:v>GBU000064-2</x:v>
      </x:c>
      <x:c r="B81" s="107" t="str">
        <x:v>Лайнер для губ GBU000064 ярко-розовый</x:v>
      </x:c>
      <x:c r="C81" s="108" t="str">
        <x:v>GBU000064F0003</x:v>
      </x:c>
      <x:c r="D81" s="108" t="str">
        <x:v>GBU000064</x:v>
      </x:c>
      <x:c r="E81" s="112" t="str">
        <x:v>CHECK</x:v>
      </x:c>
      <x:c r="F81" s="112" t="str">
        <x:f>IF(P81=0,"Нет offer",IF(AND(J81&gt;0,N81&gt;0),"Цена + остаток",IF(J81&gt;0,"Цена, без остатка",IF(N81&gt;0,"Остаток без цены","Нет цены и остатка"))))</x:f>
        <x:v>Нет цены и остатка</x:v>
      </x:c>
      <x:c r="G81" s="112" t="str">
        <x:f>IF(J81&gt;0,"Да","Нет")</x:f>
        <x:v>Нет</x:v>
      </x:c>
      <x:c r="H81" s="109"/>
      <x:c r="I81" s="109"/>
      <x:c r="J81" s="109" t="n">
        <x:v>0</x:v>
      </x:c>
      <x:c r="K81" s="112" t="str">
        <x:f>IF(N81&gt;0,"Да","Нет")</x:f>
        <x:v>Нет</x:v>
      </x:c>
      <x:c r="L81" s="109" t="n">
        <x:v>0</x:v>
      </x:c>
      <x:c r="M81" s="109" t="n">
        <x:v>0</x:v>
      </x:c>
      <x:c r="N81" s="109" t="n">
        <x:v>0</x:v>
      </x:c>
      <x:c r="O81" s="109" t="n">
        <x:v>0</x:v>
      </x:c>
      <x:c r="P81" s="109" t="n">
        <x:v>396</x:v>
      </x:c>
      <x:c r="Q81" s="113" t="n">
        <x:v>46289</x:v>
      </x:c>
      <x:c r="R81" s="114" t="n">
        <x:v>46231.32334490741</x:v>
      </x:c>
      <x:c r="S81" s="108"/>
    </x:row>
    <x:row r="82">
      <x:c r="A82" s="108" t="str">
        <x:v>GBU000064-3</x:v>
      </x:c>
      <x:c r="B82" s="107" t="str">
        <x:v>Лайнер для губ GBU000064 розовый/бежевый</x:v>
      </x:c>
      <x:c r="C82" s="108" t="str">
        <x:v>GBU000064F0002</x:v>
      </x:c>
      <x:c r="D82" s="108" t="str">
        <x:v>GBU000064</x:v>
      </x:c>
      <x:c r="E82" s="112" t="str">
        <x:v>CHECK</x:v>
      </x:c>
      <x:c r="F82" s="112" t="str">
        <x:f>IF(P82=0,"Нет offer",IF(AND(J82&gt;0,N82&gt;0),"Цена + остаток",IF(J82&gt;0,"Цена, без остатка",IF(N82&gt;0,"Остаток без цены","Нет цены и остатка"))))</x:f>
        <x:v>Нет цены и остатка</x:v>
      </x:c>
      <x:c r="G82" s="112" t="str">
        <x:f>IF(J82&gt;0,"Да","Нет")</x:f>
        <x:v>Нет</x:v>
      </x:c>
      <x:c r="H82" s="109"/>
      <x:c r="I82" s="109"/>
      <x:c r="J82" s="109" t="n">
        <x:v>0</x:v>
      </x:c>
      <x:c r="K82" s="112" t="str">
        <x:f>IF(N82&gt;0,"Да","Нет")</x:f>
        <x:v>Нет</x:v>
      </x:c>
      <x:c r="L82" s="109" t="n">
        <x:v>0</x:v>
      </x:c>
      <x:c r="M82" s="109" t="n">
        <x:v>0</x:v>
      </x:c>
      <x:c r="N82" s="109" t="n">
        <x:v>0</x:v>
      </x:c>
      <x:c r="O82" s="109" t="n">
        <x:v>0</x:v>
      </x:c>
      <x:c r="P82" s="109" t="n">
        <x:v>396</x:v>
      </x:c>
      <x:c r="Q82" s="113" t="n">
        <x:v>46289</x:v>
      </x:c>
      <x:c r="R82" s="114" t="n">
        <x:v>46231.32493055556</x:v>
      </x:c>
      <x:c r="S82" s="108"/>
    </x:row>
    <x:row r="83">
      <x:c r="A83" s="108" t="str">
        <x:v>GBU000065-1</x:v>
      </x:c>
      <x:c r="B83" s="107" t="str">
        <x:v>Бальзам для губ GBU000065 малиновый</x:v>
      </x:c>
      <x:c r="C83" s="108" t="str">
        <x:v>GBU000065F0001</x:v>
      </x:c>
      <x:c r="D83" s="108" t="str">
        <x:v>GBU000065</x:v>
      </x:c>
      <x:c r="E83" s="112" t="str">
        <x:v>CHECK</x:v>
      </x:c>
      <x:c r="F83" s="112" t="str">
        <x:f>IF(P83=0,"Нет offer",IF(AND(J83&gt;0,N83&gt;0),"Цена + остаток",IF(J83&gt;0,"Цена, без остатка",IF(N83&gt;0,"Остаток без цены","Нет цены и остатка"))))</x:f>
        <x:v>Нет цены и остатка</x:v>
      </x:c>
      <x:c r="G83" s="112" t="str">
        <x:f>IF(J83&gt;0,"Да","Нет")</x:f>
        <x:v>Нет</x:v>
      </x:c>
      <x:c r="H83" s="109"/>
      <x:c r="I83" s="109"/>
      <x:c r="J83" s="109" t="n">
        <x:v>0</x:v>
      </x:c>
      <x:c r="K83" s="112" t="str">
        <x:f>IF(N83&gt;0,"Да","Нет")</x:f>
        <x:v>Нет</x:v>
      </x:c>
      <x:c r="L83" s="109" t="n">
        <x:v>0</x:v>
      </x:c>
      <x:c r="M83" s="109" t="n">
        <x:v>0</x:v>
      </x:c>
      <x:c r="N83" s="109" t="n">
        <x:v>0</x:v>
      </x:c>
      <x:c r="O83" s="109" t="n">
        <x:v>0</x:v>
      </x:c>
      <x:c r="P83" s="109" t="n">
        <x:v>396</x:v>
      </x:c>
      <x:c r="Q83" s="113" t="n">
        <x:v>46289</x:v>
      </x:c>
      <x:c r="R83" s="114" t="n">
        <x:v>46231.3250462963</x:v>
      </x:c>
      <x:c r="S83" s="108"/>
    </x:row>
    <x:row r="84">
      <x:c r="A84" s="108" t="str">
        <x:v>GBU000065-2</x:v>
      </x:c>
      <x:c r="B84" s="107" t="str">
        <x:v>Бальзам для губ GBU000065 прозрачный</x:v>
      </x:c>
      <x:c r="C84" s="108" t="str">
        <x:v>GBU000065F0002</x:v>
      </x:c>
      <x:c r="D84" s="108" t="str">
        <x:v>GBU000065</x:v>
      </x:c>
      <x:c r="E84" s="112" t="str">
        <x:v>CHECK</x:v>
      </x:c>
      <x:c r="F84" s="112" t="str">
        <x:f>IF(P84=0,"Нет offer",IF(AND(J84&gt;0,N84&gt;0),"Цена + остаток",IF(J84&gt;0,"Цена, без остатка",IF(N84&gt;0,"Остаток без цены","Нет цены и остатка"))))</x:f>
        <x:v>Нет цены и остатка</x:v>
      </x:c>
      <x:c r="G84" s="112" t="str">
        <x:f>IF(J84&gt;0,"Да","Нет")</x:f>
        <x:v>Нет</x:v>
      </x:c>
      <x:c r="H84" s="109"/>
      <x:c r="I84" s="109"/>
      <x:c r="J84" s="109" t="n">
        <x:v>0</x:v>
      </x:c>
      <x:c r="K84" s="112" t="str">
        <x:f>IF(N84&gt;0,"Да","Нет")</x:f>
        <x:v>Нет</x:v>
      </x:c>
      <x:c r="L84" s="109" t="n">
        <x:v>0</x:v>
      </x:c>
      <x:c r="M84" s="109" t="n">
        <x:v>0</x:v>
      </x:c>
      <x:c r="N84" s="109" t="n">
        <x:v>0</x:v>
      </x:c>
      <x:c r="O84" s="109" t="n">
        <x:v>0</x:v>
      </x:c>
      <x:c r="P84" s="109" t="n">
        <x:v>396</x:v>
      </x:c>
      <x:c r="Q84" s="113" t="n">
        <x:v>46289</x:v>
      </x:c>
      <x:c r="R84" s="114" t="n">
        <x:v>46231.325625</x:v>
      </x:c>
      <x:c r="S84" s="108"/>
    </x:row>
    <x:row r="85">
      <x:c r="A85" s="108" t="str">
        <x:v>GBU000065-3</x:v>
      </x:c>
      <x:c r="B85" s="107" t="str">
        <x:v>Бальзам для губ GBU000065 светло-розовый</x:v>
      </x:c>
      <x:c r="C85" s="108" t="str">
        <x:v>GBU000065F0004</x:v>
      </x:c>
      <x:c r="D85" s="108" t="str">
        <x:v>GBU000065</x:v>
      </x:c>
      <x:c r="E85" s="112" t="str">
        <x:v>CHECK</x:v>
      </x:c>
      <x:c r="F85" s="112" t="str">
        <x:f>IF(P85=0,"Нет offer",IF(AND(J85&gt;0,N85&gt;0),"Цена + остаток",IF(J85&gt;0,"Цена, без остатка",IF(N85&gt;0,"Остаток без цены","Нет цены и остатка"))))</x:f>
        <x:v>Нет цены и остатка</x:v>
      </x:c>
      <x:c r="G85" s="112" t="str">
        <x:f>IF(J85&gt;0,"Да","Нет")</x:f>
        <x:v>Нет</x:v>
      </x:c>
      <x:c r="H85" s="109"/>
      <x:c r="I85" s="109"/>
      <x:c r="J85" s="109" t="n">
        <x:v>0</x:v>
      </x:c>
      <x:c r="K85" s="112" t="str">
        <x:f>IF(N85&gt;0,"Да","Нет")</x:f>
        <x:v>Нет</x:v>
      </x:c>
      <x:c r="L85" s="109" t="n">
        <x:v>0</x:v>
      </x:c>
      <x:c r="M85" s="109" t="n">
        <x:v>0</x:v>
      </x:c>
      <x:c r="N85" s="109" t="n">
        <x:v>0</x:v>
      </x:c>
      <x:c r="O85" s="109" t="n">
        <x:v>0</x:v>
      </x:c>
      <x:c r="P85" s="109" t="n">
        <x:v>396</x:v>
      </x:c>
      <x:c r="Q85" s="113" t="n">
        <x:v>46289</x:v>
      </x:c>
      <x:c r="R85" s="114" t="n">
        <x:v>46231.32472222222</x:v>
      </x:c>
      <x:c r="S85" s="108"/>
    </x:row>
    <x:row r="86">
      <x:c r="A86" s="108" t="str">
        <x:v>GBU000065-4</x:v>
      </x:c>
      <x:c r="B86" s="107" t="str">
        <x:v>Бальзам для губ GBU000065 розовый/бежевый</x:v>
      </x:c>
      <x:c r="C86" s="108" t="str">
        <x:v>GBU000065F0003</x:v>
      </x:c>
      <x:c r="D86" s="108" t="str">
        <x:v>GBU000065</x:v>
      </x:c>
      <x:c r="E86" s="112" t="str">
        <x:v>CHECK</x:v>
      </x:c>
      <x:c r="F86" s="112" t="str">
        <x:f>IF(P86=0,"Нет offer",IF(AND(J86&gt;0,N86&gt;0),"Цена + остаток",IF(J86&gt;0,"Цена, без остатка",IF(N86&gt;0,"Остаток без цены","Нет цены и остатка"))))</x:f>
        <x:v>Нет цены и остатка</x:v>
      </x:c>
      <x:c r="G86" s="112" t="str">
        <x:f>IF(J86&gt;0,"Да","Нет")</x:f>
        <x:v>Нет</x:v>
      </x:c>
      <x:c r="H86" s="109"/>
      <x:c r="I86" s="109"/>
      <x:c r="J86" s="109" t="n">
        <x:v>0</x:v>
      </x:c>
      <x:c r="K86" s="112" t="str">
        <x:f>IF(N86&gt;0,"Да","Нет")</x:f>
        <x:v>Нет</x:v>
      </x:c>
      <x:c r="L86" s="109" t="n">
        <x:v>0</x:v>
      </x:c>
      <x:c r="M86" s="109" t="n">
        <x:v>0</x:v>
      </x:c>
      <x:c r="N86" s="109" t="n">
        <x:v>0</x:v>
      </x:c>
      <x:c r="O86" s="109" t="n">
        <x:v>0</x:v>
      </x:c>
      <x:c r="P86" s="109" t="n">
        <x:v>396</x:v>
      </x:c>
      <x:c r="Q86" s="113" t="n">
        <x:v>46289</x:v>
      </x:c>
      <x:c r="R86" s="114" t="n">
        <x:v>46231.32314814815</x:v>
      </x:c>
      <x:c r="S86" s="108"/>
    </x:row>
    <x:row r="87">
      <x:c r="A87" s="108" t="str">
        <x:v>GBU000066-1</x:v>
      </x:c>
      <x:c r="B87" s="107" t="str">
        <x:v>Тени для век GBU000066 бежевый</x:v>
      </x:c>
      <x:c r="C87" s="108" t="str">
        <x:v>GBU000066F0001</x:v>
      </x:c>
      <x:c r="D87" s="108" t="str">
        <x:v>GBU000066</x:v>
      </x:c>
      <x:c r="E87" s="112" t="str">
        <x:v>CHECK</x:v>
      </x:c>
      <x:c r="F87" s="112" t="str">
        <x:f>IF(P87=0,"Нет offer",IF(AND(J87&gt;0,N87&gt;0),"Цена + остаток",IF(J87&gt;0,"Цена, без остатка",IF(N87&gt;0,"Остаток без цены","Нет цены и остатка"))))</x:f>
        <x:v>Нет цены и остатка</x:v>
      </x:c>
      <x:c r="G87" s="112" t="str">
        <x:f>IF(J87&gt;0,"Да","Нет")</x:f>
        <x:v>Нет</x:v>
      </x:c>
      <x:c r="H87" s="109"/>
      <x:c r="I87" s="109"/>
      <x:c r="J87" s="109" t="n">
        <x:v>0</x:v>
      </x:c>
      <x:c r="K87" s="112" t="str">
        <x:f>IF(N87&gt;0,"Да","Нет")</x:f>
        <x:v>Нет</x:v>
      </x:c>
      <x:c r="L87" s="109" t="n">
        <x:v>0</x:v>
      </x:c>
      <x:c r="M87" s="109" t="n">
        <x:v>0</x:v>
      </x:c>
      <x:c r="N87" s="109" t="n">
        <x:v>0</x:v>
      </x:c>
      <x:c r="O87" s="109" t="n">
        <x:v>0</x:v>
      </x:c>
      <x:c r="P87" s="109" t="n">
        <x:v>396</x:v>
      </x:c>
      <x:c r="Q87" s="113" t="n">
        <x:v>46289</x:v>
      </x:c>
      <x:c r="R87" s="114" t="n">
        <x:v>46231.32471064815</x:v>
      </x:c>
      <x:c r="S87" s="108"/>
    </x:row>
    <x:row r="88">
      <x:c r="A88" s="108" t="str">
        <x:v>GBU000066-2</x:v>
      </x:c>
      <x:c r="B88" s="107" t="str">
        <x:v>Тени для век GBU000066 коричневый</x:v>
      </x:c>
      <x:c r="C88" s="108" t="str">
        <x:v>GBU000066F0002</x:v>
      </x:c>
      <x:c r="D88" s="108" t="str">
        <x:v>GBU000066</x:v>
      </x:c>
      <x:c r="E88" s="112" t="str">
        <x:v>CHECK</x:v>
      </x:c>
      <x:c r="F88" s="112" t="str">
        <x:f>IF(P88=0,"Нет offer",IF(AND(J88&gt;0,N88&gt;0),"Цена + остаток",IF(J88&gt;0,"Цена, без остатка",IF(N88&gt;0,"Остаток без цены","Нет цены и остатка"))))</x:f>
        <x:v>Нет цены и остатка</x:v>
      </x:c>
      <x:c r="G88" s="112" t="str">
        <x:f>IF(J88&gt;0,"Да","Нет")</x:f>
        <x:v>Нет</x:v>
      </x:c>
      <x:c r="H88" s="109"/>
      <x:c r="I88" s="109"/>
      <x:c r="J88" s="109" t="n">
        <x:v>0</x:v>
      </x:c>
      <x:c r="K88" s="112" t="str">
        <x:f>IF(N88&gt;0,"Да","Нет")</x:f>
        <x:v>Нет</x:v>
      </x:c>
      <x:c r="L88" s="109" t="n">
        <x:v>0</x:v>
      </x:c>
      <x:c r="M88" s="109" t="n">
        <x:v>0</x:v>
      </x:c>
      <x:c r="N88" s="109" t="n">
        <x:v>0</x:v>
      </x:c>
      <x:c r="O88" s="109" t="n">
        <x:v>0</x:v>
      </x:c>
      <x:c r="P88" s="109" t="n">
        <x:v>396</x:v>
      </x:c>
      <x:c r="Q88" s="113" t="n">
        <x:v>46289</x:v>
      </x:c>
      <x:c r="R88" s="114" t="n">
        <x:v>46253.25716435185</x:v>
      </x:c>
      <x:c r="S88" s="108"/>
    </x:row>
    <x:row r="89">
      <x:c r="A89" s="108" t="str">
        <x:v>GBU000066-3</x:v>
      </x:c>
      <x:c r="B89" s="107" t="str">
        <x:v>Тени для век GBU000066 розовый</x:v>
      </x:c>
      <x:c r="C89" s="108" t="str">
        <x:v>GBU000066F0003</x:v>
      </x:c>
      <x:c r="D89" s="108" t="str">
        <x:v>GBU000066</x:v>
      </x:c>
      <x:c r="E89" s="112" t="str">
        <x:v>CHECK</x:v>
      </x:c>
      <x:c r="F89" s="112" t="str">
        <x:f>IF(P89=0,"Нет offer",IF(AND(J89&gt;0,N89&gt;0),"Цена + остаток",IF(J89&gt;0,"Цена, без остатка",IF(N89&gt;0,"Остаток без цены","Нет цены и остатка"))))</x:f>
        <x:v>Нет цены и остатка</x:v>
      </x:c>
      <x:c r="G89" s="112" t="str">
        <x:f>IF(J89&gt;0,"Да","Нет")</x:f>
        <x:v>Нет</x:v>
      </x:c>
      <x:c r="H89" s="109"/>
      <x:c r="I89" s="109"/>
      <x:c r="J89" s="109" t="n">
        <x:v>0</x:v>
      </x:c>
      <x:c r="K89" s="112" t="str">
        <x:f>IF(N89&gt;0,"Да","Нет")</x:f>
        <x:v>Нет</x:v>
      </x:c>
      <x:c r="L89" s="109" t="n">
        <x:v>0</x:v>
      </x:c>
      <x:c r="M89" s="109" t="n">
        <x:v>0</x:v>
      </x:c>
      <x:c r="N89" s="109" t="n">
        <x:v>0</x:v>
      </x:c>
      <x:c r="O89" s="109" t="n">
        <x:v>0</x:v>
      </x:c>
      <x:c r="P89" s="109" t="n">
        <x:v>396</x:v>
      </x:c>
      <x:c r="Q89" s="113" t="n">
        <x:v>46289</x:v>
      </x:c>
      <x:c r="R89" s="114" t="n">
        <x:v>46231.32576388889</x:v>
      </x:c>
      <x:c r="S89" s="108"/>
    </x:row>
    <x:row r="90">
      <x:c r="A90" s="108" t="str">
        <x:v>GBU000066-4</x:v>
      </x:c>
      <x:c r="B90" s="107" t="str">
        <x:v>Тени для век GBU000066 светло-коричневый</x:v>
      </x:c>
      <x:c r="C90" s="108" t="str">
        <x:v>GBU000066F0004</x:v>
      </x:c>
      <x:c r="D90" s="108" t="str">
        <x:v>GBU000066</x:v>
      </x:c>
      <x:c r="E90" s="112" t="str">
        <x:v>CHECK</x:v>
      </x:c>
      <x:c r="F90" s="112" t="str">
        <x:f>IF(P90=0,"Нет offer",IF(AND(J90&gt;0,N90&gt;0),"Цена + остаток",IF(J90&gt;0,"Цена, без остатка",IF(N90&gt;0,"Остаток без цены","Нет цены и остатка"))))</x:f>
        <x:v>Нет цены и остатка</x:v>
      </x:c>
      <x:c r="G90" s="112" t="str">
        <x:f>IF(J90&gt;0,"Да","Нет")</x:f>
        <x:v>Нет</x:v>
      </x:c>
      <x:c r="H90" s="109"/>
      <x:c r="I90" s="109"/>
      <x:c r="J90" s="109" t="n">
        <x:v>0</x:v>
      </x:c>
      <x:c r="K90" s="112" t="str">
        <x:f>IF(N90&gt;0,"Да","Нет")</x:f>
        <x:v>Нет</x:v>
      </x:c>
      <x:c r="L90" s="109" t="n">
        <x:v>0</x:v>
      </x:c>
      <x:c r="M90" s="109" t="n">
        <x:v>0</x:v>
      </x:c>
      <x:c r="N90" s="109" t="n">
        <x:v>0</x:v>
      </x:c>
      <x:c r="O90" s="109" t="n">
        <x:v>0</x:v>
      </x:c>
      <x:c r="P90" s="109" t="n">
        <x:v>396</x:v>
      </x:c>
      <x:c r="Q90" s="113" t="n">
        <x:v>46289</x:v>
      </x:c>
      <x:c r="R90" s="114" t="n">
        <x:v>46231.32576388889</x:v>
      </x:c>
      <x:c r="S90" s="108"/>
    </x:row>
    <x:row r="91">
      <x:c r="A91" s="108" t="str">
        <x:v>GBU000067-1</x:v>
      </x:c>
      <x:c r="B91" s="107" t="str">
        <x:v>Масло для губ GBU000067 малиновый</x:v>
      </x:c>
      <x:c r="C91" s="108" t="str">
        <x:v>GBU000067F0001</x:v>
      </x:c>
      <x:c r="D91" s="108" t="str">
        <x:v>GBU000067</x:v>
      </x:c>
      <x:c r="E91" s="112" t="str">
        <x:v>CHECK</x:v>
      </x:c>
      <x:c r="F91" s="112" t="str">
        <x:f>IF(P91=0,"Нет offer",IF(AND(J91&gt;0,N91&gt;0),"Цена + остаток",IF(J91&gt;0,"Цена, без остатка",IF(N91&gt;0,"Остаток без цены","Нет цены и остатка"))))</x:f>
        <x:v>Нет цены и остатка</x:v>
      </x:c>
      <x:c r="G91" s="112" t="str">
        <x:f>IF(J91&gt;0,"Да","Нет")</x:f>
        <x:v>Нет</x:v>
      </x:c>
      <x:c r="H91" s="109"/>
      <x:c r="I91" s="109"/>
      <x:c r="J91" s="109" t="n">
        <x:v>0</x:v>
      </x:c>
      <x:c r="K91" s="112" t="str">
        <x:f>IF(N91&gt;0,"Да","Нет")</x:f>
        <x:v>Нет</x:v>
      </x:c>
      <x:c r="L91" s="109" t="n">
        <x:v>0</x:v>
      </x:c>
      <x:c r="M91" s="109" t="n">
        <x:v>0</x:v>
      </x:c>
      <x:c r="N91" s="109" t="n">
        <x:v>0</x:v>
      </x:c>
      <x:c r="O91" s="109" t="n">
        <x:v>0</x:v>
      </x:c>
      <x:c r="P91" s="109" t="n">
        <x:v>396</x:v>
      </x:c>
      <x:c r="Q91" s="113" t="n">
        <x:v>46289</x:v>
      </x:c>
      <x:c r="R91" s="114" t="n">
        <x:v>46231.32334490741</x:v>
      </x:c>
      <x:c r="S91" s="108"/>
    </x:row>
    <x:row r="92">
      <x:c r="A92" s="108" t="str">
        <x:v>GBU000067-2</x:v>
      </x:c>
      <x:c r="B92" s="107" t="str">
        <x:v>Масло для губ GBU000067 светло-розовый</x:v>
      </x:c>
      <x:c r="C92" s="108" t="str">
        <x:v>GBU000067F0003</x:v>
      </x:c>
      <x:c r="D92" s="108" t="str">
        <x:v>GBU000067</x:v>
      </x:c>
      <x:c r="E92" s="112" t="str">
        <x:v>CHECK</x:v>
      </x:c>
      <x:c r="F92" s="112" t="str">
        <x:f>IF(P92=0,"Нет offer",IF(AND(J92&gt;0,N92&gt;0),"Цена + остаток",IF(J92&gt;0,"Цена, без остатка",IF(N92&gt;0,"Остаток без цены","Нет цены и остатка"))))</x:f>
        <x:v>Нет цены и остатка</x:v>
      </x:c>
      <x:c r="G92" s="112" t="str">
        <x:f>IF(J92&gt;0,"Да","Нет")</x:f>
        <x:v>Нет</x:v>
      </x:c>
      <x:c r="H92" s="109"/>
      <x:c r="I92" s="109"/>
      <x:c r="J92" s="109" t="n">
        <x:v>0</x:v>
      </x:c>
      <x:c r="K92" s="112" t="str">
        <x:f>IF(N92&gt;0,"Да","Нет")</x:f>
        <x:v>Нет</x:v>
      </x:c>
      <x:c r="L92" s="109" t="n">
        <x:v>0</x:v>
      </x:c>
      <x:c r="M92" s="109" t="n">
        <x:v>0</x:v>
      </x:c>
      <x:c r="N92" s="109" t="n">
        <x:v>0</x:v>
      </x:c>
      <x:c r="O92" s="109" t="n">
        <x:v>0</x:v>
      </x:c>
      <x:c r="P92" s="109" t="n">
        <x:v>396</x:v>
      </x:c>
      <x:c r="Q92" s="113" t="n">
        <x:v>46289</x:v>
      </x:c>
      <x:c r="R92" s="114" t="n">
        <x:v>46231.32518518518</x:v>
      </x:c>
      <x:c r="S92" s="108"/>
    </x:row>
    <x:row r="93">
      <x:c r="A93" s="108" t="str">
        <x:v>GBU000067-3</x:v>
      </x:c>
      <x:c r="B93" s="107" t="str">
        <x:v>Масло для губ GBU000067 темно-малиновый</x:v>
      </x:c>
      <x:c r="C93" s="108" t="str">
        <x:v>GBU000067F0004</x:v>
      </x:c>
      <x:c r="D93" s="108" t="str">
        <x:v>GBU000067</x:v>
      </x:c>
      <x:c r="E93" s="112" t="str">
        <x:v>CHECK</x:v>
      </x:c>
      <x:c r="F93" s="112" t="str">
        <x:f>IF(P93=0,"Нет offer",IF(AND(J93&gt;0,N93&gt;0),"Цена + остаток",IF(J93&gt;0,"Цена, без остатка",IF(N93&gt;0,"Остаток без цены","Нет цены и остатка"))))</x:f>
        <x:v>Нет цены и остатка</x:v>
      </x:c>
      <x:c r="G93" s="112" t="str">
        <x:f>IF(J93&gt;0,"Да","Нет")</x:f>
        <x:v>Нет</x:v>
      </x:c>
      <x:c r="H93" s="109"/>
      <x:c r="I93" s="109"/>
      <x:c r="J93" s="109" t="n">
        <x:v>0</x:v>
      </x:c>
      <x:c r="K93" s="112" t="str">
        <x:f>IF(N93&gt;0,"Да","Нет")</x:f>
        <x:v>Нет</x:v>
      </x:c>
      <x:c r="L93" s="109" t="n">
        <x:v>0</x:v>
      </x:c>
      <x:c r="M93" s="109" t="n">
        <x:v>0</x:v>
      </x:c>
      <x:c r="N93" s="109" t="n">
        <x:v>0</x:v>
      </x:c>
      <x:c r="O93" s="109" t="n">
        <x:v>0</x:v>
      </x:c>
      <x:c r="P93" s="109" t="n">
        <x:v>396</x:v>
      </x:c>
      <x:c r="Q93" s="113" t="n">
        <x:v>46289</x:v>
      </x:c>
      <x:c r="R93" s="114" t="n">
        <x:v>46231.32576388889</x:v>
      </x:c>
      <x:c r="S93" s="108"/>
    </x:row>
    <x:row r="94">
      <x:c r="A94" s="108" t="str">
        <x:v>GBU000067-4</x:v>
      </x:c>
      <x:c r="B94" s="107" t="str">
        <x:v>Масло для губ GBU000067 прозрачный</x:v>
      </x:c>
      <x:c r="C94" s="108" t="str">
        <x:v>GBU000067F0002</x:v>
      </x:c>
      <x:c r="D94" s="108" t="str">
        <x:v>GBU000067</x:v>
      </x:c>
      <x:c r="E94" s="112" t="str">
        <x:v>CHECK</x:v>
      </x:c>
      <x:c r="F94" s="112" t="str">
        <x:f>IF(P94=0,"Нет offer",IF(AND(J94&gt;0,N94&gt;0),"Цена + остаток",IF(J94&gt;0,"Цена, без остатка",IF(N94&gt;0,"Остаток без цены","Нет цены и остатка"))))</x:f>
        <x:v>Нет цены и остатка</x:v>
      </x:c>
      <x:c r="G94" s="112" t="str">
        <x:f>IF(J94&gt;0,"Да","Нет")</x:f>
        <x:v>Нет</x:v>
      </x:c>
      <x:c r="H94" s="109"/>
      <x:c r="I94" s="109"/>
      <x:c r="J94" s="109" t="n">
        <x:v>0</x:v>
      </x:c>
      <x:c r="K94" s="112" t="str">
        <x:f>IF(N94&gt;0,"Да","Нет")</x:f>
        <x:v>Нет</x:v>
      </x:c>
      <x:c r="L94" s="109" t="n">
        <x:v>0</x:v>
      </x:c>
      <x:c r="M94" s="109" t="n">
        <x:v>0</x:v>
      </x:c>
      <x:c r="N94" s="109" t="n">
        <x:v>0</x:v>
      </x:c>
      <x:c r="O94" s="109" t="n">
        <x:v>0</x:v>
      </x:c>
      <x:c r="P94" s="109" t="n">
        <x:v>396</x:v>
      </x:c>
      <x:c r="Q94" s="113" t="n">
        <x:v>46289</x:v>
      </x:c>
      <x:c r="R94" s="114" t="n">
        <x:v>46231.32493055556</x:v>
      </x:c>
      <x:c r="S94" s="108"/>
    </x:row>
    <x:row r="95">
      <x:c r="A95" s="108" t="str">
        <x:v>GBU000068-1</x:v>
      </x:c>
      <x:c r="B95" s="107" t="str">
        <x:v>Тушь для ресниц GBU000068 черный</x:v>
      </x:c>
      <x:c r="C95" s="108" t="str">
        <x:v>GBU000068F0005</x:v>
      </x:c>
      <x:c r="D95" s="108" t="str">
        <x:v>GBU000068</x:v>
      </x:c>
      <x:c r="E95" s="112" t="str">
        <x:v>CHECK</x:v>
      </x:c>
      <x:c r="F95" s="112" t="str">
        <x:f>IF(P95=0,"Нет offer",IF(AND(J95&gt;0,N95&gt;0),"Цена + остаток",IF(J95&gt;0,"Цена, без остатка",IF(N95&gt;0,"Остаток без цены","Нет цены и остатка"))))</x:f>
        <x:v>Нет цены и остатка</x:v>
      </x:c>
      <x:c r="G95" s="112" t="str">
        <x:f>IF(J95&gt;0,"Да","Нет")</x:f>
        <x:v>Нет</x:v>
      </x:c>
      <x:c r="H95" s="109"/>
      <x:c r="I95" s="109"/>
      <x:c r="J95" s="109" t="n">
        <x:v>0</x:v>
      </x:c>
      <x:c r="K95" s="112" t="str">
        <x:f>IF(N95&gt;0,"Да","Нет")</x:f>
        <x:v>Нет</x:v>
      </x:c>
      <x:c r="L95" s="109" t="n">
        <x:v>0</x:v>
      </x:c>
      <x:c r="M95" s="109" t="n">
        <x:v>0</x:v>
      </x:c>
      <x:c r="N95" s="109" t="n">
        <x:v>0</x:v>
      </x:c>
      <x:c r="O95" s="109" t="n">
        <x:v>0</x:v>
      </x:c>
      <x:c r="P95" s="109" t="n">
        <x:v>396</x:v>
      </x:c>
      <x:c r="Q95" s="113" t="n">
        <x:v>46289</x:v>
      </x:c>
      <x:c r="R95" s="114" t="n">
        <x:v>46231.3250462963</x:v>
      </x:c>
      <x:c r="S95" s="108"/>
    </x:row>
    <x:row r="96">
      <x:c r="A96" s="108" t="str">
        <x:v>GBU000068-2</x:v>
      </x:c>
      <x:c r="B96" s="107" t="str">
        <x:v>Тушь для ресниц GBU000068 коричневый</x:v>
      </x:c>
      <x:c r="C96" s="108" t="str">
        <x:v>GBU000068F0002</x:v>
      </x:c>
      <x:c r="D96" s="108" t="str">
        <x:v>GBU000068</x:v>
      </x:c>
      <x:c r="E96" s="112" t="str">
        <x:v>CHECK</x:v>
      </x:c>
      <x:c r="F96" s="112" t="str">
        <x:f>IF(P96=0,"Нет offer",IF(AND(J96&gt;0,N96&gt;0),"Цена + остаток",IF(J96&gt;0,"Цена, без остатка",IF(N96&gt;0,"Остаток без цены","Нет цены и остатка"))))</x:f>
        <x:v>Нет цены и остатка</x:v>
      </x:c>
      <x:c r="G96" s="112" t="str">
        <x:f>IF(J96&gt;0,"Да","Нет")</x:f>
        <x:v>Нет</x:v>
      </x:c>
      <x:c r="H96" s="109"/>
      <x:c r="I96" s="109"/>
      <x:c r="J96" s="109" t="n">
        <x:v>0</x:v>
      </x:c>
      <x:c r="K96" s="112" t="str">
        <x:f>IF(N96&gt;0,"Да","Нет")</x:f>
        <x:v>Нет</x:v>
      </x:c>
      <x:c r="L96" s="109" t="n">
        <x:v>0</x:v>
      </x:c>
      <x:c r="M96" s="109" t="n">
        <x:v>0</x:v>
      </x:c>
      <x:c r="N96" s="109" t="n">
        <x:v>0</x:v>
      </x:c>
      <x:c r="O96" s="109" t="n">
        <x:v>0</x:v>
      </x:c>
      <x:c r="P96" s="109" t="n">
        <x:v>396</x:v>
      </x:c>
      <x:c r="Q96" s="113" t="n">
        <x:v>46289</x:v>
      </x:c>
      <x:c r="R96" s="114" t="n">
        <x:v>46231.32475694444</x:v>
      </x:c>
      <x:c r="S96" s="108" t="str">
        <x:v>GBU000068</x:v>
      </x:c>
    </x:row>
    <x:row r="97">
      <x:c r="A97" s="108" t="str">
        <x:v>GBU000068-3</x:v>
      </x:c>
      <x:c r="B97" s="107" t="str">
        <x:v>Тушь для ресниц GBU000068 зеленый</x:v>
      </x:c>
      <x:c r="C97" s="108" t="str">
        <x:v>GBU000068F0001</x:v>
      </x:c>
      <x:c r="D97" s="108" t="str">
        <x:v>GBU000068</x:v>
      </x:c>
      <x:c r="E97" s="112" t="str">
        <x:v>CHECK</x:v>
      </x:c>
      <x:c r="F97" s="112" t="str">
        <x:f>IF(P97=0,"Нет offer",IF(AND(J97&gt;0,N97&gt;0),"Цена + остаток",IF(J97&gt;0,"Цена, без остатка",IF(N97&gt;0,"Остаток без цены","Нет цены и остатка"))))</x:f>
        <x:v>Нет цены и остатка</x:v>
      </x:c>
      <x:c r="G97" s="112" t="str">
        <x:f>IF(J97&gt;0,"Да","Нет")</x:f>
        <x:v>Нет</x:v>
      </x:c>
      <x:c r="H97" s="109"/>
      <x:c r="I97" s="109"/>
      <x:c r="J97" s="109" t="n">
        <x:v>0</x:v>
      </x:c>
      <x:c r="K97" s="112" t="str">
        <x:f>IF(N97&gt;0,"Да","Нет")</x:f>
        <x:v>Нет</x:v>
      </x:c>
      <x:c r="L97" s="109" t="n">
        <x:v>0</x:v>
      </x:c>
      <x:c r="M97" s="109" t="n">
        <x:v>0</x:v>
      </x:c>
      <x:c r="N97" s="109" t="n">
        <x:v>0</x:v>
      </x:c>
      <x:c r="O97" s="109" t="n">
        <x:v>0</x:v>
      </x:c>
      <x:c r="P97" s="109" t="n">
        <x:v>396</x:v>
      </x:c>
      <x:c r="Q97" s="113" t="n">
        <x:v>46289</x:v>
      </x:c>
      <x:c r="R97" s="114" t="n">
        <x:v>46231.32449074074</x:v>
      </x:c>
      <x:c r="S97" s="108"/>
    </x:row>
    <x:row r="98">
      <x:c r="A98" s="108" t="str">
        <x:v>GBU000068-4</x:v>
      </x:c>
      <x:c r="B98" s="107" t="str">
        <x:v>Тушь для ресниц GBU000068 синий</x:v>
      </x:c>
      <x:c r="C98" s="108" t="str">
        <x:v>GBU000068F0004</x:v>
      </x:c>
      <x:c r="D98" s="108" t="str">
        <x:v>GBU000068</x:v>
      </x:c>
      <x:c r="E98" s="112" t="str">
        <x:v>CHECK</x:v>
      </x:c>
      <x:c r="F98" s="112" t="str">
        <x:f>IF(P98=0,"Нет offer",IF(AND(J98&gt;0,N98&gt;0),"Цена + остаток",IF(J98&gt;0,"Цена, без остатка",IF(N98&gt;0,"Остаток без цены","Нет цены и остатка"))))</x:f>
        <x:v>Нет цены и остатка</x:v>
      </x:c>
      <x:c r="G98" s="112" t="str">
        <x:f>IF(J98&gt;0,"Да","Нет")</x:f>
        <x:v>Нет</x:v>
      </x:c>
      <x:c r="H98" s="109"/>
      <x:c r="I98" s="109"/>
      <x:c r="J98" s="109" t="n">
        <x:v>0</x:v>
      </x:c>
      <x:c r="K98" s="112" t="str">
        <x:f>IF(N98&gt;0,"Да","Нет")</x:f>
        <x:v>Нет</x:v>
      </x:c>
      <x:c r="L98" s="109" t="n">
        <x:v>0</x:v>
      </x:c>
      <x:c r="M98" s="109" t="n">
        <x:v>0</x:v>
      </x:c>
      <x:c r="N98" s="109" t="n">
        <x:v>0</x:v>
      </x:c>
      <x:c r="O98" s="109" t="n">
        <x:v>0</x:v>
      </x:c>
      <x:c r="P98" s="109" t="n">
        <x:v>396</x:v>
      </x:c>
      <x:c r="Q98" s="113" t="n">
        <x:v>46289</x:v>
      </x:c>
      <x:c r="R98" s="114" t="n">
        <x:v>46231.32334490741</x:v>
      </x:c>
      <x:c r="S98" s="108"/>
    </x:row>
    <x:row r="99">
      <x:c r="A99" s="108" t="str">
        <x:v>GBU000068-5</x:v>
      </x:c>
      <x:c r="B99" s="107" t="str">
        <x:v>Тушь для ресниц GBU000068 розовый</x:v>
      </x:c>
      <x:c r="C99" s="108" t="str">
        <x:v>GBU000068F0003</x:v>
      </x:c>
      <x:c r="D99" s="108" t="str">
        <x:v>GBU000068</x:v>
      </x:c>
      <x:c r="E99" s="112" t="str">
        <x:v>CHECK</x:v>
      </x:c>
      <x:c r="F99" s="112" t="str">
        <x:f>IF(P99=0,"Нет offer",IF(AND(J99&gt;0,N99&gt;0),"Цена + остаток",IF(J99&gt;0,"Цена, без остатка",IF(N99&gt;0,"Остаток без цены","Нет цены и остатка"))))</x:f>
        <x:v>Нет цены и остатка</x:v>
      </x:c>
      <x:c r="G99" s="112" t="str">
        <x:f>IF(J99&gt;0,"Да","Нет")</x:f>
        <x:v>Нет</x:v>
      </x:c>
      <x:c r="H99" s="109"/>
      <x:c r="I99" s="109"/>
      <x:c r="J99" s="109" t="n">
        <x:v>0</x:v>
      </x:c>
      <x:c r="K99" s="112" t="str">
        <x:f>IF(N99&gt;0,"Да","Нет")</x:f>
        <x:v>Нет</x:v>
      </x:c>
      <x:c r="L99" s="109" t="n">
        <x:v>0</x:v>
      </x:c>
      <x:c r="M99" s="109" t="n">
        <x:v>0</x:v>
      </x:c>
      <x:c r="N99" s="109" t="n">
        <x:v>0</x:v>
      </x:c>
      <x:c r="O99" s="109" t="n">
        <x:v>0</x:v>
      </x:c>
      <x:c r="P99" s="109" t="n">
        <x:v>396</x:v>
      </x:c>
      <x:c r="Q99" s="113" t="n">
        <x:v>46289</x:v>
      </x:c>
      <x:c r="R99" s="114" t="n">
        <x:v>46231.32314814815</x:v>
      </x:c>
      <x:c r="S99" s="108"/>
    </x:row>
    <x:row r="100">
      <x:c r="A100" s="108" t="str">
        <x:v>GBU000069-1</x:v>
      </x:c>
      <x:c r="B100" s="107" t="str">
        <x:v>Блеск для губ GBU000069 красный</x:v>
      </x:c>
      <x:c r="C100" s="108" t="str">
        <x:v>GBU000069F0001</x:v>
      </x:c>
      <x:c r="D100" s="108" t="str">
        <x:v>GBU000069</x:v>
      </x:c>
      <x:c r="E100" s="112" t="str">
        <x:v>CHECK</x:v>
      </x:c>
      <x:c r="F100" s="112" t="str">
        <x:f>IF(P100=0,"Нет offer",IF(AND(J100&gt;0,N100&gt;0),"Цена + остаток",IF(J100&gt;0,"Цена, без остатка",IF(N100&gt;0,"Остаток без цены","Нет цены и остатка"))))</x:f>
        <x:v>Нет цены и остатка</x:v>
      </x:c>
      <x:c r="G100" s="112" t="str">
        <x:f>IF(J100&gt;0,"Да","Нет")</x:f>
        <x:v>Нет</x:v>
      </x:c>
      <x:c r="H100" s="109"/>
      <x:c r="I100" s="109"/>
      <x:c r="J100" s="109" t="n">
        <x:v>0</x:v>
      </x:c>
      <x:c r="K100" s="112" t="str">
        <x:f>IF(N100&gt;0,"Да","Нет")</x:f>
        <x:v>Нет</x:v>
      </x:c>
      <x:c r="L100" s="109" t="n">
        <x:v>0</x:v>
      </x:c>
      <x:c r="M100" s="109" t="n">
        <x:v>0</x:v>
      </x:c>
      <x:c r="N100" s="109" t="n">
        <x:v>0</x:v>
      </x:c>
      <x:c r="O100" s="109" t="n">
        <x:v>0</x:v>
      </x:c>
      <x:c r="P100" s="109" t="n">
        <x:v>396</x:v>
      </x:c>
      <x:c r="Q100" s="113" t="n">
        <x:v>46289</x:v>
      </x:c>
      <x:c r="R100" s="114" t="n">
        <x:v>46231.32576388889</x:v>
      </x:c>
      <x:c r="S100" s="108"/>
    </x:row>
    <x:row r="101">
      <x:c r="A101" s="108" t="str">
        <x:v>GBU000069-2</x:v>
      </x:c>
      <x:c r="B101" s="107" t="str">
        <x:v>Блеск для губ GBU000069 розовый</x:v>
      </x:c>
      <x:c r="C101" s="108" t="str">
        <x:v>GBU000069F0002</x:v>
      </x:c>
      <x:c r="D101" s="108" t="str">
        <x:v>GBU000069</x:v>
      </x:c>
      <x:c r="E101" s="112" t="str">
        <x:v>CHECK</x:v>
      </x:c>
      <x:c r="F101" s="112" t="str">
        <x:f>IF(P101=0,"Нет offer",IF(AND(J101&gt;0,N101&gt;0),"Цена + остаток",IF(J101&gt;0,"Цена, без остатка",IF(N101&gt;0,"Остаток без цены","Нет цены и остатка"))))</x:f>
        <x:v>Нет цены и остатка</x:v>
      </x:c>
      <x:c r="G101" s="112" t="str">
        <x:f>IF(J101&gt;0,"Да","Нет")</x:f>
        <x:v>Нет</x:v>
      </x:c>
      <x:c r="H101" s="109"/>
      <x:c r="I101" s="109"/>
      <x:c r="J101" s="109" t="n">
        <x:v>0</x:v>
      </x:c>
      <x:c r="K101" s="112" t="str">
        <x:f>IF(N101&gt;0,"Да","Нет")</x:f>
        <x:v>Нет</x:v>
      </x:c>
      <x:c r="L101" s="109" t="n">
        <x:v>0</x:v>
      </x:c>
      <x:c r="M101" s="109" t="n">
        <x:v>0</x:v>
      </x:c>
      <x:c r="N101" s="109" t="n">
        <x:v>0</x:v>
      </x:c>
      <x:c r="O101" s="109" t="n">
        <x:v>0</x:v>
      </x:c>
      <x:c r="P101" s="109" t="n">
        <x:v>396</x:v>
      </x:c>
      <x:c r="Q101" s="113" t="n">
        <x:v>46289</x:v>
      </x:c>
      <x:c r="R101" s="114" t="n">
        <x:v>46231.324791666666</x:v>
      </x:c>
      <x:c r="S101" s="108"/>
    </x:row>
    <x:row r="102">
      <x:c r="A102" s="108" t="str">
        <x:v>GBU000069-3</x:v>
      </x:c>
      <x:c r="B102" s="107" t="str">
        <x:v>Блеск для губ GBU000069 розовый/бежевый</x:v>
      </x:c>
      <x:c r="C102" s="108" t="str">
        <x:v>GBU000069F0003</x:v>
      </x:c>
      <x:c r="D102" s="108" t="str">
        <x:v>GBU000069</x:v>
      </x:c>
      <x:c r="E102" s="112" t="str">
        <x:v>CHECK</x:v>
      </x:c>
      <x:c r="F102" s="112" t="str">
        <x:f>IF(P102=0,"Нет offer",IF(AND(J102&gt;0,N102&gt;0),"Цена + остаток",IF(J102&gt;0,"Цена, без остатка",IF(N102&gt;0,"Остаток без цены","Нет цены и остатка"))))</x:f>
        <x:v>Нет цены и остатка</x:v>
      </x:c>
      <x:c r="G102" s="112" t="str">
        <x:f>IF(J102&gt;0,"Да","Нет")</x:f>
        <x:v>Нет</x:v>
      </x:c>
      <x:c r="H102" s="109"/>
      <x:c r="I102" s="109"/>
      <x:c r="J102" s="109" t="n">
        <x:v>0</x:v>
      </x:c>
      <x:c r="K102" s="112" t="str">
        <x:f>IF(N102&gt;0,"Да","Нет")</x:f>
        <x:v>Нет</x:v>
      </x:c>
      <x:c r="L102" s="109" t="n">
        <x:v>0</x:v>
      </x:c>
      <x:c r="M102" s="109" t="n">
        <x:v>0</x:v>
      </x:c>
      <x:c r="N102" s="109" t="n">
        <x:v>0</x:v>
      </x:c>
      <x:c r="O102" s="109" t="n">
        <x:v>0</x:v>
      </x:c>
      <x:c r="P102" s="109" t="n">
        <x:v>396</x:v>
      </x:c>
      <x:c r="Q102" s="113" t="n">
        <x:v>46289</x:v>
      </x:c>
      <x:c r="R102" s="114" t="n">
        <x:v>46231.32475694444</x:v>
      </x:c>
      <x:c r="S102" s="108"/>
    </x:row>
    <x:row r="103">
      <x:c r="A103" s="108" t="str">
        <x:v>GBU000070-1</x:v>
      </x:c>
      <x:c r="B103" s="107" t="str">
        <x:v>Тинт для губ GBU000070 ярко-розовый</x:v>
      </x:c>
      <x:c r="C103" s="108" t="str">
        <x:v>GBU000070F0004</x:v>
      </x:c>
      <x:c r="D103" s="108" t="str">
        <x:v>GBU000070</x:v>
      </x:c>
      <x:c r="E103" s="112" t="str">
        <x:v>CHECK</x:v>
      </x:c>
      <x:c r="F103" s="112" t="str">
        <x:f>IF(P103=0,"Нет offer",IF(AND(J103&gt;0,N103&gt;0),"Цена + остаток",IF(J103&gt;0,"Цена, без остатка",IF(N103&gt;0,"Остаток без цены","Нет цены и остатка"))))</x:f>
        <x:v>Нет цены и остатка</x:v>
      </x:c>
      <x:c r="G103" s="112" t="str">
        <x:f>IF(J103&gt;0,"Да","Нет")</x:f>
        <x:v>Нет</x:v>
      </x:c>
      <x:c r="H103" s="109"/>
      <x:c r="I103" s="109"/>
      <x:c r="J103" s="109" t="n">
        <x:v>0</x:v>
      </x:c>
      <x:c r="K103" s="112" t="str">
        <x:f>IF(N103&gt;0,"Да","Нет")</x:f>
        <x:v>Нет</x:v>
      </x:c>
      <x:c r="L103" s="109" t="n">
        <x:v>0</x:v>
      </x:c>
      <x:c r="M103" s="109" t="n">
        <x:v>0</x:v>
      </x:c>
      <x:c r="N103" s="109" t="n">
        <x:v>0</x:v>
      </x:c>
      <x:c r="O103" s="109" t="n">
        <x:v>0</x:v>
      </x:c>
      <x:c r="P103" s="109" t="n">
        <x:v>396</x:v>
      </x:c>
      <x:c r="Q103" s="113" t="n">
        <x:v>46289</x:v>
      </x:c>
      <x:c r="R103" s="114" t="n">
        <x:v>46231.32576388889</x:v>
      </x:c>
      <x:c r="S103" s="108" t="str">
        <x:v>GBU000070</x:v>
      </x:c>
    </x:row>
    <x:row r="104">
      <x:c r="A104" s="108" t="str">
        <x:v>GBU000070-2</x:v>
      </x:c>
      <x:c r="B104" s="107" t="str">
        <x:v>Тинт для губ GBU000070 малиновый</x:v>
      </x:c>
      <x:c r="C104" s="108" t="str">
        <x:v>GBU000070F0002</x:v>
      </x:c>
      <x:c r="D104" s="108" t="str">
        <x:v>GBU000070</x:v>
      </x:c>
      <x:c r="E104" s="112" t="str">
        <x:v>CHECK</x:v>
      </x:c>
      <x:c r="F104" s="112" t="str">
        <x:f>IF(P104=0,"Нет offer",IF(AND(J104&gt;0,N104&gt;0),"Цена + остаток",IF(J104&gt;0,"Цена, без остатка",IF(N104&gt;0,"Остаток без цены","Нет цены и остатка"))))</x:f>
        <x:v>Нет цены и остатка</x:v>
      </x:c>
      <x:c r="G104" s="112" t="str">
        <x:f>IF(J104&gt;0,"Да","Нет")</x:f>
        <x:v>Нет</x:v>
      </x:c>
      <x:c r="H104" s="109"/>
      <x:c r="I104" s="109"/>
      <x:c r="J104" s="109" t="n">
        <x:v>0</x:v>
      </x:c>
      <x:c r="K104" s="112" t="str">
        <x:f>IF(N104&gt;0,"Да","Нет")</x:f>
        <x:v>Нет</x:v>
      </x:c>
      <x:c r="L104" s="109" t="n">
        <x:v>0</x:v>
      </x:c>
      <x:c r="M104" s="109" t="n">
        <x:v>0</x:v>
      </x:c>
      <x:c r="N104" s="109" t="n">
        <x:v>0</x:v>
      </x:c>
      <x:c r="O104" s="109" t="n">
        <x:v>0</x:v>
      </x:c>
      <x:c r="P104" s="109" t="n">
        <x:v>396</x:v>
      </x:c>
      <x:c r="Q104" s="113" t="n">
        <x:v>46289</x:v>
      </x:c>
      <x:c r="R104" s="114" t="n">
        <x:v>46231.32472222222</x:v>
      </x:c>
      <x:c r="S104" s="108"/>
    </x:row>
    <x:row r="105">
      <x:c r="A105" s="108" t="str">
        <x:v>GBU000070-3</x:v>
      </x:c>
      <x:c r="B105" s="107" t="str">
        <x:v>Тинт для губ GBU000070 розовый/бежевый</x:v>
      </x:c>
      <x:c r="C105" s="108" t="str">
        <x:v>GBU000070F0003</x:v>
      </x:c>
      <x:c r="D105" s="108" t="str">
        <x:v>GBU000070</x:v>
      </x:c>
      <x:c r="E105" s="112" t="str">
        <x:v>CHECK</x:v>
      </x:c>
      <x:c r="F105" s="112" t="str">
        <x:f>IF(P105=0,"Нет offer",IF(AND(J105&gt;0,N105&gt;0),"Цена + остаток",IF(J105&gt;0,"Цена, без остатка",IF(N105&gt;0,"Остаток без цены","Нет цены и остатка"))))</x:f>
        <x:v>Нет цены и остатка</x:v>
      </x:c>
      <x:c r="G105" s="112" t="str">
        <x:f>IF(J105&gt;0,"Да","Нет")</x:f>
        <x:v>Нет</x:v>
      </x:c>
      <x:c r="H105" s="109"/>
      <x:c r="I105" s="109"/>
      <x:c r="J105" s="109" t="n">
        <x:v>0</x:v>
      </x:c>
      <x:c r="K105" s="112" t="str">
        <x:f>IF(N105&gt;0,"Да","Нет")</x:f>
        <x:v>Нет</x:v>
      </x:c>
      <x:c r="L105" s="109" t="n">
        <x:v>0</x:v>
      </x:c>
      <x:c r="M105" s="109" t="n">
        <x:v>0</x:v>
      </x:c>
      <x:c r="N105" s="109" t="n">
        <x:v>0</x:v>
      </x:c>
      <x:c r="O105" s="109" t="n">
        <x:v>0</x:v>
      </x:c>
      <x:c r="P105" s="109" t="n">
        <x:v>396</x:v>
      </x:c>
      <x:c r="Q105" s="113" t="n">
        <x:v>46289</x:v>
      </x:c>
      <x:c r="R105" s="114" t="n">
        <x:v>46231.32576388889</x:v>
      </x:c>
      <x:c r="S105" s="108"/>
    </x:row>
    <x:row r="106">
      <x:c r="A106" s="108" t="str">
        <x:v>GBU000070-4</x:v>
      </x:c>
      <x:c r="B106" s="107" t="str">
        <x:v>Тинт для губ GBU000070 красный</x:v>
      </x:c>
      <x:c r="C106" s="108" t="str">
        <x:v>GBU000070F0001</x:v>
      </x:c>
      <x:c r="D106" s="108" t="str">
        <x:v>GBU000070</x:v>
      </x:c>
      <x:c r="E106" s="112" t="str">
        <x:v>CHECK</x:v>
      </x:c>
      <x:c r="F106" s="112" t="str">
        <x:f>IF(P106=0,"Нет offer",IF(AND(J106&gt;0,N106&gt;0),"Цена + остаток",IF(J106&gt;0,"Цена, без остатка",IF(N106&gt;0,"Остаток без цены","Нет цены и остатка"))))</x:f>
        <x:v>Нет цены и остатка</x:v>
      </x:c>
      <x:c r="G106" s="112" t="str">
        <x:f>IF(J106&gt;0,"Да","Нет")</x:f>
        <x:v>Нет</x:v>
      </x:c>
      <x:c r="H106" s="109"/>
      <x:c r="I106" s="109"/>
      <x:c r="J106" s="109" t="n">
        <x:v>0</x:v>
      </x:c>
      <x:c r="K106" s="112" t="str">
        <x:f>IF(N106&gt;0,"Да","Нет")</x:f>
        <x:v>Нет</x:v>
      </x:c>
      <x:c r="L106" s="109" t="n">
        <x:v>0</x:v>
      </x:c>
      <x:c r="M106" s="109" t="n">
        <x:v>0</x:v>
      </x:c>
      <x:c r="N106" s="109" t="n">
        <x:v>0</x:v>
      </x:c>
      <x:c r="O106" s="109" t="n">
        <x:v>0</x:v>
      </x:c>
      <x:c r="P106" s="109" t="n">
        <x:v>396</x:v>
      </x:c>
      <x:c r="Q106" s="113" t="n">
        <x:v>46289</x:v>
      </x:c>
      <x:c r="R106" s="114" t="n">
        <x:v>46231.32471064815</x:v>
      </x:c>
      <x:c r="S106" s="108"/>
    </x:row>
    <x:row r="107">
      <x:c r="A107" s="108" t="str">
        <x:v>GBU000071-1</x:v>
      </x:c>
      <x:c r="B107" s="107" t="str">
        <x:v>Набор теней для век GBU000071 разноцветный</x:v>
      </x:c>
      <x:c r="C107" s="108" t="str">
        <x:v>GBU000071F0001</x:v>
      </x:c>
      <x:c r="D107" s="108" t="str">
        <x:v>GBU000071</x:v>
      </x:c>
      <x:c r="E107" s="112" t="str">
        <x:v>CHECK</x:v>
      </x:c>
      <x:c r="F107" s="112" t="str">
        <x:f>IF(P107=0,"Нет offer",IF(AND(J107&gt;0,N107&gt;0),"Цена + остаток",IF(J107&gt;0,"Цена, без остатка",IF(N107&gt;0,"Остаток без цены","Нет цены и остатка"))))</x:f>
        <x:v>Нет цены и остатка</x:v>
      </x:c>
      <x:c r="G107" s="112" t="str">
        <x:f>IF(J107&gt;0,"Да","Нет")</x:f>
        <x:v>Нет</x:v>
      </x:c>
      <x:c r="H107" s="109"/>
      <x:c r="I107" s="109"/>
      <x:c r="J107" s="109" t="n">
        <x:v>0</x:v>
      </x:c>
      <x:c r="K107" s="112" t="str">
        <x:f>IF(N107&gt;0,"Да","Нет")</x:f>
        <x:v>Нет</x:v>
      </x:c>
      <x:c r="L107" s="109" t="n">
        <x:v>0</x:v>
      </x:c>
      <x:c r="M107" s="109" t="n">
        <x:v>0</x:v>
      </x:c>
      <x:c r="N107" s="109" t="n">
        <x:v>0</x:v>
      </x:c>
      <x:c r="O107" s="109" t="n">
        <x:v>0</x:v>
      </x:c>
      <x:c r="P107" s="109" t="n">
        <x:v>396</x:v>
      </x:c>
      <x:c r="Q107" s="113" t="n">
        <x:v>46317</x:v>
      </x:c>
      <x:c r="R107" s="114" t="n">
        <x:v>46231.32334490741</x:v>
      </x:c>
      <x:c r="S107" s="108"/>
    </x:row>
    <x:row r="108">
      <x:c r="A108" s="108" t="str">
        <x:v>GBU000071-2</x:v>
      </x:c>
      <x:c r="B108" s="107" t="str">
        <x:v>Набор теней для век GBU000071 разноцветный/розовый</x:v>
      </x:c>
      <x:c r="C108" s="108" t="str">
        <x:v>GBU000071F0002</x:v>
      </x:c>
      <x:c r="D108" s="108" t="str">
        <x:v>GBU000071</x:v>
      </x:c>
      <x:c r="E108" s="112" t="str">
        <x:v>CHECK</x:v>
      </x:c>
      <x:c r="F108" s="112" t="str">
        <x:f>IF(P108=0,"Нет offer",IF(AND(J108&gt;0,N108&gt;0),"Цена + остаток",IF(J108&gt;0,"Цена, без остатка",IF(N108&gt;0,"Остаток без цены","Нет цены и остатка"))))</x:f>
        <x:v>Нет цены и остатка</x:v>
      </x:c>
      <x:c r="G108" s="112" t="str">
        <x:f>IF(J108&gt;0,"Да","Нет")</x:f>
        <x:v>Нет</x:v>
      </x:c>
      <x:c r="H108" s="109"/>
      <x:c r="I108" s="109"/>
      <x:c r="J108" s="109" t="n">
        <x:v>0</x:v>
      </x:c>
      <x:c r="K108" s="112" t="str">
        <x:f>IF(N108&gt;0,"Да","Нет")</x:f>
        <x:v>Нет</x:v>
      </x:c>
      <x:c r="L108" s="109" t="n">
        <x:v>0</x:v>
      </x:c>
      <x:c r="M108" s="109" t="n">
        <x:v>0</x:v>
      </x:c>
      <x:c r="N108" s="109" t="n">
        <x:v>0</x:v>
      </x:c>
      <x:c r="O108" s="109" t="n">
        <x:v>0</x:v>
      </x:c>
      <x:c r="P108" s="109" t="n">
        <x:v>396</x:v>
      </x:c>
      <x:c r="Q108" s="113" t="n">
        <x:v>46317</x:v>
      </x:c>
      <x:c r="R108" s="114" t="n">
        <x:v>46231.32449074074</x:v>
      </x:c>
      <x:c r="S108" s="108"/>
    </x:row>
    <x:row r="109">
      <x:c r="A109" s="108" t="str">
        <x:v>GBU000072-1</x:v>
      </x:c>
      <x:c r="B109" s="107" t="str">
        <x:v>Румяна GBU000072 ярко-розовый</x:v>
      </x:c>
      <x:c r="C109" s="108" t="str">
        <x:v>GBU000072F0003</x:v>
      </x:c>
      <x:c r="D109" s="108" t="str">
        <x:v>GBU000072</x:v>
      </x:c>
      <x:c r="E109" s="112" t="str">
        <x:v>CHECK</x:v>
      </x:c>
      <x:c r="F109" s="112" t="str">
        <x:f>IF(P109=0,"Нет offer",IF(AND(J109&gt;0,N109&gt;0),"Цена + остаток",IF(J109&gt;0,"Цена, без остатка",IF(N109&gt;0,"Остаток без цены","Нет цены и остатка"))))</x:f>
        <x:v>Нет цены и остатка</x:v>
      </x:c>
      <x:c r="G109" s="112" t="str">
        <x:f>IF(J109&gt;0,"Да","Нет")</x:f>
        <x:v>Нет</x:v>
      </x:c>
      <x:c r="H109" s="109"/>
      <x:c r="I109" s="109"/>
      <x:c r="J109" s="109" t="n">
        <x:v>0</x:v>
      </x:c>
      <x:c r="K109" s="112" t="str">
        <x:f>IF(N109&gt;0,"Да","Нет")</x:f>
        <x:v>Нет</x:v>
      </x:c>
      <x:c r="L109" s="109" t="n">
        <x:v>0</x:v>
      </x:c>
      <x:c r="M109" s="109" t="n">
        <x:v>0</x:v>
      </x:c>
      <x:c r="N109" s="109" t="n">
        <x:v>0</x:v>
      </x:c>
      <x:c r="O109" s="109" t="n">
        <x:v>0</x:v>
      </x:c>
      <x:c r="P109" s="109" t="n">
        <x:v>396</x:v>
      </x:c>
      <x:c r="Q109" s="113" t="n">
        <x:v>46289</x:v>
      </x:c>
      <x:c r="R109" s="114" t="n">
        <x:v>46231.323159722226</x:v>
      </x:c>
      <x:c r="S109" s="108"/>
    </x:row>
    <x:row r="110">
      <x:c r="A110" s="108" t="str">
        <x:v>GBU000072-2</x:v>
      </x:c>
      <x:c r="B110" s="107" t="str">
        <x:v>Румяна GBU000072 малиновый</x:v>
      </x:c>
      <x:c r="C110" s="108" t="str">
        <x:v>GBU000072F0002</x:v>
      </x:c>
      <x:c r="D110" s="108" t="str">
        <x:v>GBU000072</x:v>
      </x:c>
      <x:c r="E110" s="112" t="str">
        <x:v>CHECK</x:v>
      </x:c>
      <x:c r="F110" s="112" t="str">
        <x:f>IF(P110=0,"Нет offer",IF(AND(J110&gt;0,N110&gt;0),"Цена + остаток",IF(J110&gt;0,"Цена, без остатка",IF(N110&gt;0,"Остаток без цены","Нет цены и остатка"))))</x:f>
        <x:v>Нет цены и остатка</x:v>
      </x:c>
      <x:c r="G110" s="112" t="str">
        <x:f>IF(J110&gt;0,"Да","Нет")</x:f>
        <x:v>Нет</x:v>
      </x:c>
      <x:c r="H110" s="109"/>
      <x:c r="I110" s="109"/>
      <x:c r="J110" s="109" t="n">
        <x:v>0</x:v>
      </x:c>
      <x:c r="K110" s="112" t="str">
        <x:f>IF(N110&gt;0,"Да","Нет")</x:f>
        <x:v>Нет</x:v>
      </x:c>
      <x:c r="L110" s="109" t="n">
        <x:v>0</x:v>
      </x:c>
      <x:c r="M110" s="109" t="n">
        <x:v>0</x:v>
      </x:c>
      <x:c r="N110" s="109" t="n">
        <x:v>0</x:v>
      </x:c>
      <x:c r="O110" s="109" t="n">
        <x:v>0</x:v>
      </x:c>
      <x:c r="P110" s="109" t="n">
        <x:v>396</x:v>
      </x:c>
      <x:c r="Q110" s="113" t="n">
        <x:v>46289</x:v>
      </x:c>
      <x:c r="R110" s="114" t="n">
        <x:v>46231.32576388889</x:v>
      </x:c>
      <x:c r="S110" s="108"/>
    </x:row>
    <x:row r="111">
      <x:c r="A111" s="108" t="str">
        <x:v>GBU000072-3</x:v>
      </x:c>
      <x:c r="B111" s="107" t="str">
        <x:v>Румяна GBU000072 красный</x:v>
      </x:c>
      <x:c r="C111" s="108" t="str">
        <x:v>GBU000072F0001</x:v>
      </x:c>
      <x:c r="D111" s="108" t="str">
        <x:v>GBU000072</x:v>
      </x:c>
      <x:c r="E111" s="112" t="str">
        <x:v>CHECK</x:v>
      </x:c>
      <x:c r="F111" s="112" t="str">
        <x:f>IF(P111=0,"Нет offer",IF(AND(J111&gt;0,N111&gt;0),"Цена + остаток",IF(J111&gt;0,"Цена, без остатка",IF(N111&gt;0,"Остаток без цены","Нет цены и остатка"))))</x:f>
        <x:v>Нет цены и остатка</x:v>
      </x:c>
      <x:c r="G111" s="112" t="str">
        <x:f>IF(J111&gt;0,"Да","Нет")</x:f>
        <x:v>Нет</x:v>
      </x:c>
      <x:c r="H111" s="109"/>
      <x:c r="I111" s="109"/>
      <x:c r="J111" s="109" t="n">
        <x:v>0</x:v>
      </x:c>
      <x:c r="K111" s="112" t="str">
        <x:f>IF(N111&gt;0,"Да","Нет")</x:f>
        <x:v>Нет</x:v>
      </x:c>
      <x:c r="L111" s="109" t="n">
        <x:v>0</x:v>
      </x:c>
      <x:c r="M111" s="109" t="n">
        <x:v>0</x:v>
      </x:c>
      <x:c r="N111" s="109" t="n">
        <x:v>0</x:v>
      </x:c>
      <x:c r="O111" s="109" t="n">
        <x:v>0</x:v>
      </x:c>
      <x:c r="P111" s="109" t="n">
        <x:v>396</x:v>
      </x:c>
      <x:c r="Q111" s="113" t="n">
        <x:v>46289</x:v>
      </x:c>
      <x:c r="R111" s="114" t="n">
        <x:v>46231.32481481481</x:v>
      </x:c>
      <x:c r="S111" s="108"/>
    </x:row>
    <x:row r="112">
      <x:c r="A112" s="108" t="str">
        <x:v>GBU000073-1</x:v>
      </x:c>
      <x:c r="B112" s="107" t="str">
        <x:v>Тени для век GBU000073 светло-розовый</x:v>
      </x:c>
      <x:c r="C112" s="108" t="str">
        <x:v>GBU000073F0003</x:v>
      </x:c>
      <x:c r="D112" s="108" t="str">
        <x:v>GBU000073</x:v>
      </x:c>
      <x:c r="E112" s="112" t="str">
        <x:v>CHECK</x:v>
      </x:c>
      <x:c r="F112" s="112" t="str">
        <x:f>IF(P112=0,"Нет offer",IF(AND(J112&gt;0,N112&gt;0),"Цена + остаток",IF(J112&gt;0,"Цена, без остатка",IF(N112&gt;0,"Остаток без цены","Нет цены и остатка"))))</x:f>
        <x:v>Нет цены и остатка</x:v>
      </x:c>
      <x:c r="G112" s="112" t="str">
        <x:f>IF(J112&gt;0,"Да","Нет")</x:f>
        <x:v>Нет</x:v>
      </x:c>
      <x:c r="H112" s="109"/>
      <x:c r="I112" s="109"/>
      <x:c r="J112" s="109" t="n">
        <x:v>0</x:v>
      </x:c>
      <x:c r="K112" s="112" t="str">
        <x:f>IF(N112&gt;0,"Да","Нет")</x:f>
        <x:v>Нет</x:v>
      </x:c>
      <x:c r="L112" s="109" t="n">
        <x:v>0</x:v>
      </x:c>
      <x:c r="M112" s="109" t="n">
        <x:v>0</x:v>
      </x:c>
      <x:c r="N112" s="109" t="n">
        <x:v>0</x:v>
      </x:c>
      <x:c r="O112" s="109" t="n">
        <x:v>0</x:v>
      </x:c>
      <x:c r="P112" s="109" t="n">
        <x:v>396</x:v>
      </x:c>
      <x:c r="Q112" s="113" t="n">
        <x:v>46289</x:v>
      </x:c>
      <x:c r="R112" s="114" t="n">
        <x:v>46231.32576388889</x:v>
      </x:c>
      <x:c r="S112" s="108"/>
    </x:row>
    <x:row r="113">
      <x:c r="A113" s="108" t="str">
        <x:v>GBU000073-2</x:v>
      </x:c>
      <x:c r="B113" s="107" t="str">
        <x:v>Тени для век GBU000073 разноцветный/белый</x:v>
      </x:c>
      <x:c r="C113" s="108" t="str">
        <x:v>GBU000073F0002</x:v>
      </x:c>
      <x:c r="D113" s="108" t="str">
        <x:v>GBU000073</x:v>
      </x:c>
      <x:c r="E113" s="112" t="str">
        <x:v>CHECK</x:v>
      </x:c>
      <x:c r="F113" s="112" t="str">
        <x:f>IF(P113=0,"Нет offer",IF(AND(J113&gt;0,N113&gt;0),"Цена + остаток",IF(J113&gt;0,"Цена, без остатка",IF(N113&gt;0,"Остаток без цены","Нет цены и остатка"))))</x:f>
        <x:v>Нет цены и остатка</x:v>
      </x:c>
      <x:c r="G113" s="112" t="str">
        <x:f>IF(J113&gt;0,"Да","Нет")</x:f>
        <x:v>Нет</x:v>
      </x:c>
      <x:c r="H113" s="109"/>
      <x:c r="I113" s="109"/>
      <x:c r="J113" s="109" t="n">
        <x:v>0</x:v>
      </x:c>
      <x:c r="K113" s="112" t="str">
        <x:f>IF(N113&gt;0,"Да","Нет")</x:f>
        <x:v>Нет</x:v>
      </x:c>
      <x:c r="L113" s="109" t="n">
        <x:v>0</x:v>
      </x:c>
      <x:c r="M113" s="109" t="n">
        <x:v>0</x:v>
      </x:c>
      <x:c r="N113" s="109" t="n">
        <x:v>0</x:v>
      </x:c>
      <x:c r="O113" s="109" t="n">
        <x:v>0</x:v>
      </x:c>
      <x:c r="P113" s="109" t="n">
        <x:v>396</x:v>
      </x:c>
      <x:c r="Q113" s="113" t="n">
        <x:v>46289</x:v>
      </x:c>
      <x:c r="R113" s="114" t="n">
        <x:v>46231.325625</x:v>
      </x:c>
      <x:c r="S113" s="108"/>
    </x:row>
    <x:row r="114">
      <x:c r="A114" s="108" t="str">
        <x:v>GBU000073-3</x:v>
      </x:c>
      <x:c r="B114" s="107" t="str">
        <x:v>Тени для век GBU000073 золотистый</x:v>
      </x:c>
      <x:c r="C114" s="108" t="str">
        <x:v>GBU000073F0001</x:v>
      </x:c>
      <x:c r="D114" s="108" t="str">
        <x:v>GBU000073</x:v>
      </x:c>
      <x:c r="E114" s="112" t="str">
        <x:v>CHECK</x:v>
      </x:c>
      <x:c r="F114" s="112" t="str">
        <x:f>IF(P114=0,"Нет offer",IF(AND(J114&gt;0,N114&gt;0),"Цена + остаток",IF(J114&gt;0,"Цена, без остатка",IF(N114&gt;0,"Остаток без цены","Нет цены и остатка"))))</x:f>
        <x:v>Нет цены и остатка</x:v>
      </x:c>
      <x:c r="G114" s="112" t="str">
        <x:f>IF(J114&gt;0,"Да","Нет")</x:f>
        <x:v>Нет</x:v>
      </x:c>
      <x:c r="H114" s="109"/>
      <x:c r="I114" s="109"/>
      <x:c r="J114" s="109" t="n">
        <x:v>0</x:v>
      </x:c>
      <x:c r="K114" s="112" t="str">
        <x:f>IF(N114&gt;0,"Да","Нет")</x:f>
        <x:v>Нет</x:v>
      </x:c>
      <x:c r="L114" s="109" t="n">
        <x:v>0</x:v>
      </x:c>
      <x:c r="M114" s="109" t="n">
        <x:v>0</x:v>
      </x:c>
      <x:c r="N114" s="109" t="n">
        <x:v>0</x:v>
      </x:c>
      <x:c r="O114" s="109" t="n">
        <x:v>0</x:v>
      </x:c>
      <x:c r="P114" s="109" t="n">
        <x:v>396</x:v>
      </x:c>
      <x:c r="Q114" s="113" t="n">
        <x:v>46289</x:v>
      </x:c>
      <x:c r="R114" s="114" t="n">
        <x:v>46231.324849537035</x:v>
      </x:c>
      <x:c r="S114" s="108"/>
    </x:row>
    <x:row r="115">
      <x:c r="A115" s="108" t="str">
        <x:v>GBU000073-4</x:v>
      </x:c>
      <x:c r="B115" s="107" t="str">
        <x:v>Тени для век GBU000073 фиолетовый</x:v>
      </x:c>
      <x:c r="C115" s="108" t="str">
        <x:v>GBU000073F0004</x:v>
      </x:c>
      <x:c r="D115" s="108" t="str">
        <x:v>GBU000073</x:v>
      </x:c>
      <x:c r="E115" s="112" t="str">
        <x:v>CHECK</x:v>
      </x:c>
      <x:c r="F115" s="112" t="str">
        <x:f>IF(P115=0,"Нет offer",IF(AND(J115&gt;0,N115&gt;0),"Цена + остаток",IF(J115&gt;0,"Цена, без остатка",IF(N115&gt;0,"Остаток без цены","Нет цены и остатка"))))</x:f>
        <x:v>Нет цены и остатка</x:v>
      </x:c>
      <x:c r="G115" s="112" t="str">
        <x:f>IF(J115&gt;0,"Да","Нет")</x:f>
        <x:v>Нет</x:v>
      </x:c>
      <x:c r="H115" s="109"/>
      <x:c r="I115" s="109"/>
      <x:c r="J115" s="109" t="n">
        <x:v>0</x:v>
      </x:c>
      <x:c r="K115" s="112" t="str">
        <x:f>IF(N115&gt;0,"Да","Нет")</x:f>
        <x:v>Нет</x:v>
      </x:c>
      <x:c r="L115" s="109" t="n">
        <x:v>0</x:v>
      </x:c>
      <x:c r="M115" s="109" t="n">
        <x:v>0</x:v>
      </x:c>
      <x:c r="N115" s="109" t="n">
        <x:v>0</x:v>
      </x:c>
      <x:c r="O115" s="109" t="n">
        <x:v>0</x:v>
      </x:c>
      <x:c r="P115" s="109" t="n">
        <x:v>396</x:v>
      </x:c>
      <x:c r="Q115" s="113" t="n">
        <x:v>46289</x:v>
      </x:c>
      <x:c r="R115" s="114" t="n">
        <x:v>46231.32334490741</x:v>
      </x:c>
      <x:c r="S115" s="108"/>
    </x:row>
    <x:row r="116">
      <x:c r="A116" s="108" t="str">
        <x:v>GBU000074-1</x:v>
      </x:c>
      <x:c r="B116" s="107" t="str">
        <x:v>Хайлайтер GBU000074 светло-розовый</x:v>
      </x:c>
      <x:c r="C116" s="108" t="str">
        <x:v>GBU000074F0002</x:v>
      </x:c>
      <x:c r="D116" s="108" t="str">
        <x:v>GBU000074</x:v>
      </x:c>
      <x:c r="E116" s="112" t="str">
        <x:v>CHECK</x:v>
      </x:c>
      <x:c r="F116" s="112" t="str">
        <x:f>IF(P116=0,"Нет offer",IF(AND(J116&gt;0,N116&gt;0),"Цена + остаток",IF(J116&gt;0,"Цена, без остатка",IF(N116&gt;0,"Остаток без цены","Нет цены и остатка"))))</x:f>
        <x:v>Нет цены и остатка</x:v>
      </x:c>
      <x:c r="G116" s="112" t="str">
        <x:f>IF(J116&gt;0,"Да","Нет")</x:f>
        <x:v>Нет</x:v>
      </x:c>
      <x:c r="H116" s="109"/>
      <x:c r="I116" s="109"/>
      <x:c r="J116" s="109" t="n">
        <x:v>0</x:v>
      </x:c>
      <x:c r="K116" s="112" t="str">
        <x:f>IF(N116&gt;0,"Да","Нет")</x:f>
        <x:v>Нет</x:v>
      </x:c>
      <x:c r="L116" s="109" t="n">
        <x:v>0</x:v>
      </x:c>
      <x:c r="M116" s="109" t="n">
        <x:v>0</x:v>
      </x:c>
      <x:c r="N116" s="109" t="n">
        <x:v>0</x:v>
      </x:c>
      <x:c r="O116" s="109" t="n">
        <x:v>0</x:v>
      </x:c>
      <x:c r="P116" s="109" t="n">
        <x:v>396</x:v>
      </x:c>
      <x:c r="Q116" s="113" t="n">
        <x:v>46289</x:v>
      </x:c>
      <x:c r="R116" s="114" t="n">
        <x:v>46231.32475694444</x:v>
      </x:c>
      <x:c r="S116" s="108"/>
    </x:row>
    <x:row r="117">
      <x:c r="A117" s="108" t="str">
        <x:v>GBU000074-2</x:v>
      </x:c>
      <x:c r="B117" s="107" t="str">
        <x:v>Хайлайтер GBU000074 золотистый</x:v>
      </x:c>
      <x:c r="C117" s="108" t="str">
        <x:v>GBU000074F0001</x:v>
      </x:c>
      <x:c r="D117" s="108" t="str">
        <x:v>GBU000074</x:v>
      </x:c>
      <x:c r="E117" s="112" t="str">
        <x:v>CHECK</x:v>
      </x:c>
      <x:c r="F117" s="112" t="str">
        <x:f>IF(P117=0,"Нет offer",IF(AND(J117&gt;0,N117&gt;0),"Цена + остаток",IF(J117&gt;0,"Цена, без остатка",IF(N117&gt;0,"Остаток без цены","Нет цены и остатка"))))</x:f>
        <x:v>Нет цены и остатка</x:v>
      </x:c>
      <x:c r="G117" s="112" t="str">
        <x:f>IF(J117&gt;0,"Да","Нет")</x:f>
        <x:v>Нет</x:v>
      </x:c>
      <x:c r="H117" s="109"/>
      <x:c r="I117" s="109"/>
      <x:c r="J117" s="109" t="n">
        <x:v>0</x:v>
      </x:c>
      <x:c r="K117" s="112" t="str">
        <x:f>IF(N117&gt;0,"Да","Нет")</x:f>
        <x:v>Нет</x:v>
      </x:c>
      <x:c r="L117" s="109" t="n">
        <x:v>0</x:v>
      </x:c>
      <x:c r="M117" s="109" t="n">
        <x:v>0</x:v>
      </x:c>
      <x:c r="N117" s="109" t="n">
        <x:v>0</x:v>
      </x:c>
      <x:c r="O117" s="109" t="n">
        <x:v>0</x:v>
      </x:c>
      <x:c r="P117" s="109" t="n">
        <x:v>396</x:v>
      </x:c>
      <x:c r="Q117" s="113" t="n">
        <x:v>46289</x:v>
      </x:c>
      <x:c r="R117" s="114" t="n">
        <x:v>46231.32334490741</x:v>
      </x:c>
      <x:c r="S117" s="108"/>
    </x:row>
    <x:row r="118">
      <x:c r="A118" s="108" t="str">
        <x:v>GBU000075-1</x:v>
      </x:c>
      <x:c r="B118" s="107" t="str">
        <x:v>Гель для бровей GBU000075 коричневый</x:v>
      </x:c>
      <x:c r="C118" s="108" t="str">
        <x:v>GBU000075F0001</x:v>
      </x:c>
      <x:c r="D118" s="108" t="str">
        <x:v>GBU000075</x:v>
      </x:c>
      <x:c r="E118" s="112" t="str">
        <x:v>CHECK</x:v>
      </x:c>
      <x:c r="F118" s="112" t="str">
        <x:f>IF(P118=0,"Нет offer",IF(AND(J118&gt;0,N118&gt;0),"Цена + остаток",IF(J118&gt;0,"Цена, без остатка",IF(N118&gt;0,"Остаток без цены","Нет цены и остатка"))))</x:f>
        <x:v>Нет цены и остатка</x:v>
      </x:c>
      <x:c r="G118" s="112" t="str">
        <x:f>IF(J118&gt;0,"Да","Нет")</x:f>
        <x:v>Нет</x:v>
      </x:c>
      <x:c r="H118" s="109"/>
      <x:c r="I118" s="109"/>
      <x:c r="J118" s="109" t="n">
        <x:v>0</x:v>
      </x:c>
      <x:c r="K118" s="112" t="str">
        <x:f>IF(N118&gt;0,"Да","Нет")</x:f>
        <x:v>Нет</x:v>
      </x:c>
      <x:c r="L118" s="109" t="n">
        <x:v>0</x:v>
      </x:c>
      <x:c r="M118" s="109" t="n">
        <x:v>0</x:v>
      </x:c>
      <x:c r="N118" s="109" t="n">
        <x:v>0</x:v>
      </x:c>
      <x:c r="O118" s="109" t="n">
        <x:v>0</x:v>
      </x:c>
      <x:c r="P118" s="109" t="n">
        <x:v>396</x:v>
      </x:c>
      <x:c r="Q118" s="113" t="n">
        <x:v>46289</x:v>
      </x:c>
      <x:c r="R118" s="114" t="n">
        <x:v>46231.32472222222</x:v>
      </x:c>
      <x:c r="S118" s="108"/>
    </x:row>
    <x:row r="119">
      <x:c r="A119" s="108" t="str">
        <x:v>GBU000075-2</x:v>
      </x:c>
      <x:c r="B119" s="107" t="str">
        <x:v>Гель для бровей GBU000075 темно-бежевый</x:v>
      </x:c>
      <x:c r="C119" s="108" t="str">
        <x:v>GBU000075F0003</x:v>
      </x:c>
      <x:c r="D119" s="108" t="str">
        <x:v>GBU000075</x:v>
      </x:c>
      <x:c r="E119" s="112" t="str">
        <x:v>CHECK</x:v>
      </x:c>
      <x:c r="F119" s="112" t="str">
        <x:f>IF(P119=0,"Нет offer",IF(AND(J119&gt;0,N119&gt;0),"Цена + остаток",IF(J119&gt;0,"Цена, без остатка",IF(N119&gt;0,"Остаток без цены","Нет цены и остатка"))))</x:f>
        <x:v>Нет цены и остатка</x:v>
      </x:c>
      <x:c r="G119" s="112" t="str">
        <x:f>IF(J119&gt;0,"Да","Нет")</x:f>
        <x:v>Нет</x:v>
      </x:c>
      <x:c r="H119" s="109"/>
      <x:c r="I119" s="109"/>
      <x:c r="J119" s="109" t="n">
        <x:v>0</x:v>
      </x:c>
      <x:c r="K119" s="112" t="str">
        <x:f>IF(N119&gt;0,"Да","Нет")</x:f>
        <x:v>Нет</x:v>
      </x:c>
      <x:c r="L119" s="109" t="n">
        <x:v>0</x:v>
      </x:c>
      <x:c r="M119" s="109" t="n">
        <x:v>0</x:v>
      </x:c>
      <x:c r="N119" s="109" t="n">
        <x:v>0</x:v>
      </x:c>
      <x:c r="O119" s="109" t="n">
        <x:v>0</x:v>
      </x:c>
      <x:c r="P119" s="109" t="n">
        <x:v>396</x:v>
      </x:c>
      <x:c r="Q119" s="113" t="n">
        <x:v>46289</x:v>
      </x:c>
      <x:c r="R119" s="114" t="n">
        <x:v>46231.324791666666</x:v>
      </x:c>
      <x:c r="S119" s="108"/>
    </x:row>
    <x:row r="120">
      <x:c r="A120" s="108" t="str">
        <x:v>GBU000075-3</x:v>
      </x:c>
      <x:c r="B120" s="107" t="str">
        <x:v>Гель для бровей GBU000075 прозрачный</x:v>
      </x:c>
      <x:c r="C120" s="108" t="str">
        <x:v>GBU000075F0002</x:v>
      </x:c>
      <x:c r="D120" s="108" t="str">
        <x:v>GBU000075</x:v>
      </x:c>
      <x:c r="E120" s="112" t="str">
        <x:v>CHECK</x:v>
      </x:c>
      <x:c r="F120" s="112" t="str">
        <x:f>IF(P120=0,"Нет offer",IF(AND(J120&gt;0,N120&gt;0),"Цена + остаток",IF(J120&gt;0,"Цена, без остатка",IF(N120&gt;0,"Остаток без цены","Нет цены и остатка"))))</x:f>
        <x:v>Нет цены и остатка</x:v>
      </x:c>
      <x:c r="G120" s="112" t="str">
        <x:f>IF(J120&gt;0,"Да","Нет")</x:f>
        <x:v>Нет</x:v>
      </x:c>
      <x:c r="H120" s="109"/>
      <x:c r="I120" s="109"/>
      <x:c r="J120" s="109" t="n">
        <x:v>0</x:v>
      </x:c>
      <x:c r="K120" s="112" t="str">
        <x:f>IF(N120&gt;0,"Да","Нет")</x:f>
        <x:v>Нет</x:v>
      </x:c>
      <x:c r="L120" s="109" t="n">
        <x:v>0</x:v>
      </x:c>
      <x:c r="M120" s="109" t="n">
        <x:v>0</x:v>
      </x:c>
      <x:c r="N120" s="109" t="n">
        <x:v>0</x:v>
      </x:c>
      <x:c r="O120" s="109" t="n">
        <x:v>0</x:v>
      </x:c>
      <x:c r="P120" s="109" t="n">
        <x:v>396</x:v>
      </x:c>
      <x:c r="Q120" s="113" t="n">
        <x:v>46289</x:v>
      </x:c>
      <x:c r="R120" s="114" t="n">
        <x:v>46231.32481481481</x:v>
      </x:c>
      <x:c r="S120" s="108"/>
    </x:row>
    <x:row r="121">
      <x:c r="A121" s="108" t="str">
        <x:v>GBU000076-1</x:v>
      </x:c>
      <x:c r="B121" s="107" t="str">
        <x:v>Лайнер для глаз GBU000076 черный</x:v>
      </x:c>
      <x:c r="C121" s="108" t="str">
        <x:v>GBU000076F0005</x:v>
      </x:c>
      <x:c r="D121" s="108" t="str">
        <x:v>GBU000076</x:v>
      </x:c>
      <x:c r="E121" s="112" t="str">
        <x:v>CHECK</x:v>
      </x:c>
      <x:c r="F121" s="112" t="str">
        <x:f>IF(P121=0,"Нет offer",IF(AND(J121&gt;0,N121&gt;0),"Цена + остаток",IF(J121&gt;0,"Цена, без остатка",IF(N121&gt;0,"Остаток без цены","Нет цены и остатка"))))</x:f>
        <x:v>Нет цены и остатка</x:v>
      </x:c>
      <x:c r="G121" s="112" t="str">
        <x:f>IF(J121&gt;0,"Да","Нет")</x:f>
        <x:v>Нет</x:v>
      </x:c>
      <x:c r="H121" s="109"/>
      <x:c r="I121" s="109"/>
      <x:c r="J121" s="109" t="n">
        <x:v>0</x:v>
      </x:c>
      <x:c r="K121" s="112" t="str">
        <x:f>IF(N121&gt;0,"Да","Нет")</x:f>
        <x:v>Нет</x:v>
      </x:c>
      <x:c r="L121" s="109" t="n">
        <x:v>0</x:v>
      </x:c>
      <x:c r="M121" s="109" t="n">
        <x:v>0</x:v>
      </x:c>
      <x:c r="N121" s="109" t="n">
        <x:v>0</x:v>
      </x:c>
      <x:c r="O121" s="109" t="n">
        <x:v>0</x:v>
      </x:c>
      <x:c r="P121" s="109" t="n">
        <x:v>396</x:v>
      </x:c>
      <x:c r="Q121" s="113" t="n">
        <x:v>46289</x:v>
      </x:c>
      <x:c r="R121" s="114" t="n">
        <x:v>46253.25732638889</x:v>
      </x:c>
      <x:c r="S121" s="108"/>
    </x:row>
    <x:row r="122">
      <x:c r="A122" s="108" t="str">
        <x:v>GBU000076-2</x:v>
      </x:c>
      <x:c r="B122" s="107" t="str">
        <x:v>Лайнер для глаз GBU000076 коричневый</x:v>
      </x:c>
      <x:c r="C122" s="108" t="str">
        <x:v>GBU000076F0002</x:v>
      </x:c>
      <x:c r="D122" s="108" t="str">
        <x:v>GBU000076</x:v>
      </x:c>
      <x:c r="E122" s="112" t="str">
        <x:v>CHECK</x:v>
      </x:c>
      <x:c r="F122" s="112" t="str">
        <x:f>IF(P122=0,"Нет offer",IF(AND(J122&gt;0,N122&gt;0),"Цена + остаток",IF(J122&gt;0,"Цена, без остатка",IF(N122&gt;0,"Остаток без цены","Нет цены и остатка"))))</x:f>
        <x:v>Нет цены и остатка</x:v>
      </x:c>
      <x:c r="G122" s="112" t="str">
        <x:f>IF(J122&gt;0,"Да","Нет")</x:f>
        <x:v>Нет</x:v>
      </x:c>
      <x:c r="H122" s="109"/>
      <x:c r="I122" s="109"/>
      <x:c r="J122" s="109" t="n">
        <x:v>0</x:v>
      </x:c>
      <x:c r="K122" s="112" t="str">
        <x:f>IF(N122&gt;0,"Да","Нет")</x:f>
        <x:v>Нет</x:v>
      </x:c>
      <x:c r="L122" s="109" t="n">
        <x:v>0</x:v>
      </x:c>
      <x:c r="M122" s="109" t="n">
        <x:v>0</x:v>
      </x:c>
      <x:c r="N122" s="109" t="n">
        <x:v>0</x:v>
      </x:c>
      <x:c r="O122" s="109" t="n">
        <x:v>0</x:v>
      </x:c>
      <x:c r="P122" s="109" t="n">
        <x:v>396</x:v>
      </x:c>
      <x:c r="Q122" s="113" t="n">
        <x:v>46289</x:v>
      </x:c>
      <x:c r="R122" s="114" t="n">
        <x:v>46231.3247337963</x:v>
      </x:c>
      <x:c r="S122" s="108" t="str">
        <x:v>GBU000076</x:v>
      </x:c>
    </x:row>
    <x:row r="123">
      <x:c r="A123" s="108" t="str">
        <x:v>GBU000076-3</x:v>
      </x:c>
      <x:c r="B123" s="107" t="str">
        <x:v>Лайнер для глаз GBU000076 зеленый</x:v>
      </x:c>
      <x:c r="C123" s="108" t="str">
        <x:v>GBU000076F0001</x:v>
      </x:c>
      <x:c r="D123" s="108" t="str">
        <x:v>GBU000076</x:v>
      </x:c>
      <x:c r="E123" s="112" t="str">
        <x:v>CHECK</x:v>
      </x:c>
      <x:c r="F123" s="112" t="str">
        <x:f>IF(P123=0,"Нет offer",IF(AND(J123&gt;0,N123&gt;0),"Цена + остаток",IF(J123&gt;0,"Цена, без остатка",IF(N123&gt;0,"Остаток без цены","Нет цены и остатка"))))</x:f>
        <x:v>Нет цены и остатка</x:v>
      </x:c>
      <x:c r="G123" s="112" t="str">
        <x:f>IF(J123&gt;0,"Да","Нет")</x:f>
        <x:v>Нет</x:v>
      </x:c>
      <x:c r="H123" s="109"/>
      <x:c r="I123" s="109"/>
      <x:c r="J123" s="109" t="n">
        <x:v>0</x:v>
      </x:c>
      <x:c r="K123" s="112" t="str">
        <x:f>IF(N123&gt;0,"Да","Нет")</x:f>
        <x:v>Нет</x:v>
      </x:c>
      <x:c r="L123" s="109" t="n">
        <x:v>0</x:v>
      </x:c>
      <x:c r="M123" s="109" t="n">
        <x:v>0</x:v>
      </x:c>
      <x:c r="N123" s="109" t="n">
        <x:v>0</x:v>
      </x:c>
      <x:c r="O123" s="109" t="n">
        <x:v>0</x:v>
      </x:c>
      <x:c r="P123" s="109" t="n">
        <x:v>396</x:v>
      </x:c>
      <x:c r="Q123" s="113" t="n">
        <x:v>46289</x:v>
      </x:c>
      <x:c r="R123" s="114" t="n">
        <x:v>46231.32334490741</x:v>
      </x:c>
      <x:c r="S123" s="108"/>
    </x:row>
    <x:row r="124">
      <x:c r="A124" s="108" t="str">
        <x:v>GBU000076-4</x:v>
      </x:c>
      <x:c r="B124" s="107" t="str">
        <x:v>Лайнер для глаз GBU000076 розовый</x:v>
      </x:c>
      <x:c r="C124" s="108" t="str">
        <x:v>GBU000076F0003</x:v>
      </x:c>
      <x:c r="D124" s="108" t="str">
        <x:v>GBU000076</x:v>
      </x:c>
      <x:c r="E124" s="112" t="str">
        <x:v>CHECK</x:v>
      </x:c>
      <x:c r="F124" s="112" t="str">
        <x:f>IF(P124=0,"Нет offer",IF(AND(J124&gt;0,N124&gt;0),"Цена + остаток",IF(J124&gt;0,"Цена, без остатка",IF(N124&gt;0,"Остаток без цены","Нет цены и остатка"))))</x:f>
        <x:v>Нет цены и остатка</x:v>
      </x:c>
      <x:c r="G124" s="112" t="str">
        <x:f>IF(J124&gt;0,"Да","Нет")</x:f>
        <x:v>Нет</x:v>
      </x:c>
      <x:c r="H124" s="109"/>
      <x:c r="I124" s="109"/>
      <x:c r="J124" s="109" t="n">
        <x:v>0</x:v>
      </x:c>
      <x:c r="K124" s="112" t="str">
        <x:f>IF(N124&gt;0,"Да","Нет")</x:f>
        <x:v>Нет</x:v>
      </x:c>
      <x:c r="L124" s="109" t="n">
        <x:v>0</x:v>
      </x:c>
      <x:c r="M124" s="109" t="n">
        <x:v>0</x:v>
      </x:c>
      <x:c r="N124" s="109" t="n">
        <x:v>0</x:v>
      </x:c>
      <x:c r="O124" s="109" t="n">
        <x:v>0</x:v>
      </x:c>
      <x:c r="P124" s="109" t="n">
        <x:v>396</x:v>
      </x:c>
      <x:c r="Q124" s="113" t="n">
        <x:v>46289</x:v>
      </x:c>
      <x:c r="R124" s="114" t="n">
        <x:v>46231.32494212963</x:v>
      </x:c>
      <x:c r="S124" s="108"/>
    </x:row>
    <x:row r="125">
      <x:c r="A125" s="108" t="str">
        <x:v>GBU000076-5</x:v>
      </x:c>
      <x:c r="B125" s="107" t="str">
        <x:v>Лайнер для глаз GBU000076 синий</x:v>
      </x:c>
      <x:c r="C125" s="108" t="str">
        <x:v>GBU000076F0004</x:v>
      </x:c>
      <x:c r="D125" s="108" t="str">
        <x:v>GBU000076</x:v>
      </x:c>
      <x:c r="E125" s="112" t="str">
        <x:v>CHECK</x:v>
      </x:c>
      <x:c r="F125" s="112" t="str">
        <x:f>IF(P125=0,"Нет offer",IF(AND(J125&gt;0,N125&gt;0),"Цена + остаток",IF(J125&gt;0,"Цена, без остатка",IF(N125&gt;0,"Остаток без цены","Нет цены и остатка"))))</x:f>
        <x:v>Нет цены и остатка</x:v>
      </x:c>
      <x:c r="G125" s="112" t="str">
        <x:f>IF(J125&gt;0,"Да","Нет")</x:f>
        <x:v>Нет</x:v>
      </x:c>
      <x:c r="H125" s="109"/>
      <x:c r="I125" s="109"/>
      <x:c r="J125" s="109" t="n">
        <x:v>0</x:v>
      </x:c>
      <x:c r="K125" s="112" t="str">
        <x:f>IF(N125&gt;0,"Да","Нет")</x:f>
        <x:v>Нет</x:v>
      </x:c>
      <x:c r="L125" s="109" t="n">
        <x:v>0</x:v>
      </x:c>
      <x:c r="M125" s="109" t="n">
        <x:v>0</x:v>
      </x:c>
      <x:c r="N125" s="109" t="n">
        <x:v>0</x:v>
      </x:c>
      <x:c r="O125" s="109" t="n">
        <x:v>0</x:v>
      </x:c>
      <x:c r="P125" s="109" t="n">
        <x:v>396</x:v>
      </x:c>
      <x:c r="Q125" s="113" t="n">
        <x:v>46289</x:v>
      </x:c>
      <x:c r="R125" s="114" t="n">
        <x:v>46231.325625</x:v>
      </x:c>
      <x:c r="S125" s="108"/>
    </x:row>
    <x:row r="126">
      <x:c r="A126" s="108" t="str">
        <x:v>GBU000077-1</x:v>
      </x:c>
      <x:c r="B126" s="107" t="str">
        <x:v>Румяна GBU000077 ярко-розовый</x:v>
      </x:c>
      <x:c r="C126" s="108" t="str">
        <x:v>GBU000077F0004</x:v>
      </x:c>
      <x:c r="D126" s="108" t="str">
        <x:v>GBU000077</x:v>
      </x:c>
      <x:c r="E126" s="112" t="str">
        <x:v>CHECK</x:v>
      </x:c>
      <x:c r="F126" s="112" t="str">
        <x:f>IF(P126=0,"Нет offer",IF(AND(J126&gt;0,N126&gt;0),"Цена + остаток",IF(J126&gt;0,"Цена, без остатка",IF(N126&gt;0,"Остаток без цены","Нет цены и остатка"))))</x:f>
        <x:v>Нет цены и остатка</x:v>
      </x:c>
      <x:c r="G126" s="112" t="str">
        <x:f>IF(J126&gt;0,"Да","Нет")</x:f>
        <x:v>Нет</x:v>
      </x:c>
      <x:c r="H126" s="109"/>
      <x:c r="I126" s="109"/>
      <x:c r="J126" s="109" t="n">
        <x:v>0</x:v>
      </x:c>
      <x:c r="K126" s="112" t="str">
        <x:f>IF(N126&gt;0,"Да","Нет")</x:f>
        <x:v>Нет</x:v>
      </x:c>
      <x:c r="L126" s="109" t="n">
        <x:v>0</x:v>
      </x:c>
      <x:c r="M126" s="109" t="n">
        <x:v>0</x:v>
      </x:c>
      <x:c r="N126" s="109" t="n">
        <x:v>0</x:v>
      </x:c>
      <x:c r="O126" s="109" t="n">
        <x:v>0</x:v>
      </x:c>
      <x:c r="P126" s="109" t="n">
        <x:v>396</x:v>
      </x:c>
      <x:c r="Q126" s="113" t="n">
        <x:v>46289</x:v>
      </x:c>
      <x:c r="R126" s="114" t="n">
        <x:v>46231.325625</x:v>
      </x:c>
      <x:c r="S126" s="108"/>
    </x:row>
    <x:row r="127">
      <x:c r="A127" s="108" t="str">
        <x:v>GBU000077-2</x:v>
      </x:c>
      <x:c r="B127" s="107" t="str">
        <x:v>Румяна GBU000077 малиновый</x:v>
      </x:c>
      <x:c r="C127" s="108" t="str">
        <x:v>GBU000077F0001</x:v>
      </x:c>
      <x:c r="D127" s="108" t="str">
        <x:v>GBU000077</x:v>
      </x:c>
      <x:c r="E127" s="112" t="str">
        <x:v>CHECK</x:v>
      </x:c>
      <x:c r="F127" s="112" t="str">
        <x:f>IF(P127=0,"Нет offer",IF(AND(J127&gt;0,N127&gt;0),"Цена + остаток",IF(J127&gt;0,"Цена, без остатка",IF(N127&gt;0,"Остаток без цены","Нет цены и остатка"))))</x:f>
        <x:v>Нет цены и остатка</x:v>
      </x:c>
      <x:c r="G127" s="112" t="str">
        <x:f>IF(J127&gt;0,"Да","Нет")</x:f>
        <x:v>Нет</x:v>
      </x:c>
      <x:c r="H127" s="109"/>
      <x:c r="I127" s="109"/>
      <x:c r="J127" s="109" t="n">
        <x:v>0</x:v>
      </x:c>
      <x:c r="K127" s="112" t="str">
        <x:f>IF(N127&gt;0,"Да","Нет")</x:f>
        <x:v>Нет</x:v>
      </x:c>
      <x:c r="L127" s="109" t="n">
        <x:v>0</x:v>
      </x:c>
      <x:c r="M127" s="109" t="n">
        <x:v>0</x:v>
      </x:c>
      <x:c r="N127" s="109" t="n">
        <x:v>0</x:v>
      </x:c>
      <x:c r="O127" s="109" t="n">
        <x:v>0</x:v>
      </x:c>
      <x:c r="P127" s="109" t="n">
        <x:v>396</x:v>
      </x:c>
      <x:c r="Q127" s="113" t="n">
        <x:v>46289</x:v>
      </x:c>
      <x:c r="R127" s="114" t="n">
        <x:v>46231.32481481481</x:v>
      </x:c>
      <x:c r="S127" s="108"/>
    </x:row>
    <x:row r="128">
      <x:c r="A128" s="108" t="str">
        <x:v>GBU000077-3</x:v>
      </x:c>
      <x:c r="B128" s="107" t="str">
        <x:v>Румяна GBU000077 светло-розовый</x:v>
      </x:c>
      <x:c r="C128" s="108" t="str">
        <x:v>GBU000077F0003</x:v>
      </x:c>
      <x:c r="D128" s="108" t="str">
        <x:v>GBU000077</x:v>
      </x:c>
      <x:c r="E128" s="112" t="str">
        <x:v>CHECK</x:v>
      </x:c>
      <x:c r="F128" s="112" t="str">
        <x:f>IF(P128=0,"Нет offer",IF(AND(J128&gt;0,N128&gt;0),"Цена + остаток",IF(J128&gt;0,"Цена, без остатка",IF(N128&gt;0,"Остаток без цены","Нет цены и остатка"))))</x:f>
        <x:v>Нет цены и остатка</x:v>
      </x:c>
      <x:c r="G128" s="112" t="str">
        <x:f>IF(J128&gt;0,"Да","Нет")</x:f>
        <x:v>Нет</x:v>
      </x:c>
      <x:c r="H128" s="109"/>
      <x:c r="I128" s="109"/>
      <x:c r="J128" s="109" t="n">
        <x:v>0</x:v>
      </x:c>
      <x:c r="K128" s="112" t="str">
        <x:f>IF(N128&gt;0,"Да","Нет")</x:f>
        <x:v>Нет</x:v>
      </x:c>
      <x:c r="L128" s="109" t="n">
        <x:v>0</x:v>
      </x:c>
      <x:c r="M128" s="109" t="n">
        <x:v>0</x:v>
      </x:c>
      <x:c r="N128" s="109" t="n">
        <x:v>0</x:v>
      </x:c>
      <x:c r="O128" s="109" t="n">
        <x:v>0</x:v>
      </x:c>
      <x:c r="P128" s="109" t="n">
        <x:v>396</x:v>
      </x:c>
      <x:c r="Q128" s="113" t="n">
        <x:v>46289</x:v>
      </x:c>
      <x:c r="R128" s="114" t="n">
        <x:v>46231.32475694444</x:v>
      </x:c>
      <x:c r="S128" s="108"/>
    </x:row>
    <x:row r="129">
      <x:c r="A129" s="108" t="str">
        <x:v>GBU000077-4</x:v>
      </x:c>
      <x:c r="B129" s="107" t="str">
        <x:v>Румяна GBU000077 розовый/бежевый</x:v>
      </x:c>
      <x:c r="C129" s="108" t="str">
        <x:v>GBU000077F0002</x:v>
      </x:c>
      <x:c r="D129" s="108" t="str">
        <x:v>GBU000077</x:v>
      </x:c>
      <x:c r="E129" s="112" t="str">
        <x:v>CHECK</x:v>
      </x:c>
      <x:c r="F129" s="112" t="str">
        <x:f>IF(P129=0,"Нет offer",IF(AND(J129&gt;0,N129&gt;0),"Цена + остаток",IF(J129&gt;0,"Цена, без остатка",IF(N129&gt;0,"Остаток без цены","Нет цены и остатка"))))</x:f>
        <x:v>Нет цены и остатка</x:v>
      </x:c>
      <x:c r="G129" s="112" t="str">
        <x:f>IF(J129&gt;0,"Да","Нет")</x:f>
        <x:v>Нет</x:v>
      </x:c>
      <x:c r="H129" s="109"/>
      <x:c r="I129" s="109"/>
      <x:c r="J129" s="109" t="n">
        <x:v>0</x:v>
      </x:c>
      <x:c r="K129" s="112" t="str">
        <x:f>IF(N129&gt;0,"Да","Нет")</x:f>
        <x:v>Нет</x:v>
      </x:c>
      <x:c r="L129" s="109" t="n">
        <x:v>0</x:v>
      </x:c>
      <x:c r="M129" s="109" t="n">
        <x:v>0</x:v>
      </x:c>
      <x:c r="N129" s="109" t="n">
        <x:v>0</x:v>
      </x:c>
      <x:c r="O129" s="109" t="n">
        <x:v>0</x:v>
      </x:c>
      <x:c r="P129" s="109" t="n">
        <x:v>396</x:v>
      </x:c>
      <x:c r="Q129" s="113" t="n">
        <x:v>46289</x:v>
      </x:c>
      <x:c r="R129" s="114" t="n">
        <x:v>46231.325625</x:v>
      </x:c>
      <x:c r="S129" s="108"/>
    </x:row>
    <x:row r="130">
      <x:c r="A130" s="108" t="str">
        <x:v>GBU000078-1</x:v>
      </x:c>
      <x:c r="B130" s="107" t="str">
        <x:v>Масло для губ GBU000078 ярко-розовый</x:v>
      </x:c>
      <x:c r="C130" s="108" t="str">
        <x:v>GBU000078F0006</x:v>
      </x:c>
      <x:c r="D130" s="108" t="str">
        <x:v>GBU000078</x:v>
      </x:c>
      <x:c r="E130" s="112" t="str">
        <x:v>CHECK</x:v>
      </x:c>
      <x:c r="F130" s="112" t="str">
        <x:f>IF(P130=0,"Нет offer",IF(AND(J130&gt;0,N130&gt;0),"Цена + остаток",IF(J130&gt;0,"Цена, без остатка",IF(N130&gt;0,"Остаток без цены","Нет цены и остатка"))))</x:f>
        <x:v>Нет цены и остатка</x:v>
      </x:c>
      <x:c r="G130" s="112" t="str">
        <x:f>IF(J130&gt;0,"Да","Нет")</x:f>
        <x:v>Нет</x:v>
      </x:c>
      <x:c r="H130" s="109"/>
      <x:c r="I130" s="109"/>
      <x:c r="J130" s="109" t="n">
        <x:v>0</x:v>
      </x:c>
      <x:c r="K130" s="112" t="str">
        <x:f>IF(N130&gt;0,"Да","Нет")</x:f>
        <x:v>Нет</x:v>
      </x:c>
      <x:c r="L130" s="109" t="n">
        <x:v>0</x:v>
      </x:c>
      <x:c r="M130" s="109" t="n">
        <x:v>0</x:v>
      </x:c>
      <x:c r="N130" s="109" t="n">
        <x:v>0</x:v>
      </x:c>
      <x:c r="O130" s="109" t="n">
        <x:v>0</x:v>
      </x:c>
      <x:c r="P130" s="109" t="n">
        <x:v>396</x:v>
      </x:c>
      <x:c r="Q130" s="113" t="n">
        <x:v>46289</x:v>
      </x:c>
      <x:c r="R130" s="114" t="n">
        <x:v>46231.32475694444</x:v>
      </x:c>
      <x:c r="S130" s="108"/>
    </x:row>
    <x:row r="131">
      <x:c r="A131" s="108" t="str">
        <x:v>GBU000078-2</x:v>
      </x:c>
      <x:c r="B131" s="107" t="str">
        <x:v>Масло для губ GBU000078 малиновый</x:v>
      </x:c>
      <x:c r="C131" s="108" t="str">
        <x:v>GBU000078F0003</x:v>
      </x:c>
      <x:c r="D131" s="108" t="str">
        <x:v>GBU000078</x:v>
      </x:c>
      <x:c r="E131" s="112" t="str">
        <x:v>CHECK</x:v>
      </x:c>
      <x:c r="F131" s="112" t="str">
        <x:f>IF(P131=0,"Нет offer",IF(AND(J131&gt;0,N131&gt;0),"Цена + остаток",IF(J131&gt;0,"Цена, без остатка",IF(N131&gt;0,"Остаток без цены","Нет цены и остатка"))))</x:f>
        <x:v>Нет цены и остатка</x:v>
      </x:c>
      <x:c r="G131" s="112" t="str">
        <x:f>IF(J131&gt;0,"Да","Нет")</x:f>
        <x:v>Нет</x:v>
      </x:c>
      <x:c r="H131" s="109"/>
      <x:c r="I131" s="109"/>
      <x:c r="J131" s="109" t="n">
        <x:v>0</x:v>
      </x:c>
      <x:c r="K131" s="112" t="str">
        <x:f>IF(N131&gt;0,"Да","Нет")</x:f>
        <x:v>Нет</x:v>
      </x:c>
      <x:c r="L131" s="109" t="n">
        <x:v>0</x:v>
      </x:c>
      <x:c r="M131" s="109" t="n">
        <x:v>0</x:v>
      </x:c>
      <x:c r="N131" s="109" t="n">
        <x:v>0</x:v>
      </x:c>
      <x:c r="O131" s="109" t="n">
        <x:v>0</x:v>
      </x:c>
      <x:c r="P131" s="109" t="n">
        <x:v>396</x:v>
      </x:c>
      <x:c r="Q131" s="113" t="n">
        <x:v>46289</x:v>
      </x:c>
      <x:c r="R131" s="114" t="n">
        <x:v>46231.32494212963</x:v>
      </x:c>
      <x:c r="S131" s="108"/>
    </x:row>
    <x:row r="132">
      <x:c r="A132" s="108" t="str">
        <x:v>GBU000078-3</x:v>
      </x:c>
      <x:c r="B132" s="107" t="str">
        <x:v>Масло для губ GBU000078 желтый</x:v>
      </x:c>
      <x:c r="C132" s="108" t="str">
        <x:v>GBU000078F0001</x:v>
      </x:c>
      <x:c r="D132" s="108" t="str">
        <x:v>GBU000078</x:v>
      </x:c>
      <x:c r="E132" s="112" t="str">
        <x:v>CHECK</x:v>
      </x:c>
      <x:c r="F132" s="112" t="str">
        <x:f>IF(P132=0,"Нет offer",IF(AND(J132&gt;0,N132&gt;0),"Цена + остаток",IF(J132&gt;0,"Цена, без остатка",IF(N132&gt;0,"Остаток без цены","Нет цены и остатка"))))</x:f>
        <x:v>Нет цены и остатка</x:v>
      </x:c>
      <x:c r="G132" s="112" t="str">
        <x:f>IF(J132&gt;0,"Да","Нет")</x:f>
        <x:v>Нет</x:v>
      </x:c>
      <x:c r="H132" s="109"/>
      <x:c r="I132" s="109"/>
      <x:c r="J132" s="109" t="n">
        <x:v>0</x:v>
      </x:c>
      <x:c r="K132" s="112" t="str">
        <x:f>IF(N132&gt;0,"Да","Нет")</x:f>
        <x:v>Нет</x:v>
      </x:c>
      <x:c r="L132" s="109" t="n">
        <x:v>0</x:v>
      </x:c>
      <x:c r="M132" s="109" t="n">
        <x:v>0</x:v>
      </x:c>
      <x:c r="N132" s="109" t="n">
        <x:v>0</x:v>
      </x:c>
      <x:c r="O132" s="109" t="n">
        <x:v>0</x:v>
      </x:c>
      <x:c r="P132" s="109" t="n">
        <x:v>396</x:v>
      </x:c>
      <x:c r="Q132" s="113" t="n">
        <x:v>46289</x:v>
      </x:c>
      <x:c r="R132" s="114" t="n">
        <x:v>46231.32450231481</x:v>
      </x:c>
      <x:c r="S132" s="108"/>
    </x:row>
    <x:row r="133">
      <x:c r="A133" s="108" t="str">
        <x:v>GBU000078-4</x:v>
      </x:c>
      <x:c r="B133" s="107" t="str">
        <x:v>Масло для губ GBU000078 зеленый</x:v>
      </x:c>
      <x:c r="C133" s="108" t="str">
        <x:v>GBU000078F0002</x:v>
      </x:c>
      <x:c r="D133" s="108" t="str">
        <x:v>GBU000078</x:v>
      </x:c>
      <x:c r="E133" s="112" t="str">
        <x:v>CHECK</x:v>
      </x:c>
      <x:c r="F133" s="112" t="str">
        <x:f>IF(P133=0,"Нет offer",IF(AND(J133&gt;0,N133&gt;0),"Цена + остаток",IF(J133&gt;0,"Цена, без остатка",IF(N133&gt;0,"Остаток без цены","Нет цены и остатка"))))</x:f>
        <x:v>Нет цены и остатка</x:v>
      </x:c>
      <x:c r="G133" s="112" t="str">
        <x:f>IF(J133&gt;0,"Да","Нет")</x:f>
        <x:v>Нет</x:v>
      </x:c>
      <x:c r="H133" s="109"/>
      <x:c r="I133" s="109"/>
      <x:c r="J133" s="109" t="n">
        <x:v>0</x:v>
      </x:c>
      <x:c r="K133" s="112" t="str">
        <x:f>IF(N133&gt;0,"Да","Нет")</x:f>
        <x:v>Нет</x:v>
      </x:c>
      <x:c r="L133" s="109" t="n">
        <x:v>0</x:v>
      </x:c>
      <x:c r="M133" s="109" t="n">
        <x:v>0</x:v>
      </x:c>
      <x:c r="N133" s="109" t="n">
        <x:v>0</x:v>
      </x:c>
      <x:c r="O133" s="109" t="n">
        <x:v>0</x:v>
      </x:c>
      <x:c r="P133" s="109" t="n">
        <x:v>396</x:v>
      </x:c>
      <x:c r="Q133" s="113" t="n">
        <x:v>46289</x:v>
      </x:c>
      <x:c r="R133" s="114" t="n">
        <x:v>46231.323159722226</x:v>
      </x:c>
      <x:c r="S133" s="108"/>
    </x:row>
    <x:row r="134">
      <x:c r="A134" s="108" t="str">
        <x:v>GBU000078-5</x:v>
      </x:c>
      <x:c r="B134" s="107" t="str">
        <x:v>Масло для губ GBU000078 синий</x:v>
      </x:c>
      <x:c r="C134" s="108" t="str">
        <x:v>GBU000078F0005</x:v>
      </x:c>
      <x:c r="D134" s="108" t="str">
        <x:v>GBU000078</x:v>
      </x:c>
      <x:c r="E134" s="112" t="str">
        <x:v>CHECK</x:v>
      </x:c>
      <x:c r="F134" s="112" t="str">
        <x:f>IF(P134=0,"Нет offer",IF(AND(J134&gt;0,N134&gt;0),"Цена + остаток",IF(J134&gt;0,"Цена, без остатка",IF(N134&gt;0,"Остаток без цены","Нет цены и остатка"))))</x:f>
        <x:v>Нет цены и остатка</x:v>
      </x:c>
      <x:c r="G134" s="112" t="str">
        <x:f>IF(J134&gt;0,"Да","Нет")</x:f>
        <x:v>Нет</x:v>
      </x:c>
      <x:c r="H134" s="109"/>
      <x:c r="I134" s="109"/>
      <x:c r="J134" s="109" t="n">
        <x:v>0</x:v>
      </x:c>
      <x:c r="K134" s="112" t="str">
        <x:f>IF(N134&gt;0,"Да","Нет")</x:f>
        <x:v>Нет</x:v>
      </x:c>
      <x:c r="L134" s="109" t="n">
        <x:v>0</x:v>
      </x:c>
      <x:c r="M134" s="109" t="n">
        <x:v>0</x:v>
      </x:c>
      <x:c r="N134" s="109" t="n">
        <x:v>0</x:v>
      </x:c>
      <x:c r="O134" s="109" t="n">
        <x:v>0</x:v>
      </x:c>
      <x:c r="P134" s="109" t="n">
        <x:v>396</x:v>
      </x:c>
      <x:c r="Q134" s="113" t="n">
        <x:v>46289</x:v>
      </x:c>
      <x:c r="R134" s="114" t="n">
        <x:v>46231.325057870374</x:v>
      </x:c>
      <x:c r="S134" s="108"/>
    </x:row>
    <x:row r="135">
      <x:c r="A135" s="108" t="str">
        <x:v>GBU000078-6</x:v>
      </x:c>
      <x:c r="B135" s="107" t="str">
        <x:v>Масло для губ GBU000078 прозрачный</x:v>
      </x:c>
      <x:c r="C135" s="108" t="str">
        <x:v>GBU000078F0004</x:v>
      </x:c>
      <x:c r="D135" s="108" t="str">
        <x:v>GBU000078</x:v>
      </x:c>
      <x:c r="E135" s="112" t="str">
        <x:v>CHECK</x:v>
      </x:c>
      <x:c r="F135" s="112" t="str">
        <x:f>IF(P135=0,"Нет offer",IF(AND(J135&gt;0,N135&gt;0),"Цена + остаток",IF(J135&gt;0,"Цена, без остатка",IF(N135&gt;0,"Остаток без цены","Нет цены и остатка"))))</x:f>
        <x:v>Нет цены и остатка</x:v>
      </x:c>
      <x:c r="G135" s="112" t="str">
        <x:f>IF(J135&gt;0,"Да","Нет")</x:f>
        <x:v>Нет</x:v>
      </x:c>
      <x:c r="H135" s="109"/>
      <x:c r="I135" s="109"/>
      <x:c r="J135" s="109" t="n">
        <x:v>0</x:v>
      </x:c>
      <x:c r="K135" s="112" t="str">
        <x:f>IF(N135&gt;0,"Да","Нет")</x:f>
        <x:v>Нет</x:v>
      </x:c>
      <x:c r="L135" s="109" t="n">
        <x:v>0</x:v>
      </x:c>
      <x:c r="M135" s="109" t="n">
        <x:v>0</x:v>
      </x:c>
      <x:c r="N135" s="109" t="n">
        <x:v>0</x:v>
      </x:c>
      <x:c r="O135" s="109" t="n">
        <x:v>0</x:v>
      </x:c>
      <x:c r="P135" s="109" t="n">
        <x:v>396</x:v>
      </x:c>
      <x:c r="Q135" s="113" t="n">
        <x:v>46289</x:v>
      </x:c>
      <x:c r="R135" s="114" t="n">
        <x:v>46231.32576388889</x:v>
      </x:c>
      <x:c r="S135" s="108"/>
    </x:row>
    <x:row r="136">
      <x:c r="A136" s="108" t="str">
        <x:v>GBU000079-1</x:v>
      </x:c>
      <x:c r="B136" s="107" t="str">
        <x:v>Контуринг GBU000079 коричневый</x:v>
      </x:c>
      <x:c r="C136" s="108" t="str">
        <x:v>GBU000079F0001</x:v>
      </x:c>
      <x:c r="D136" s="108" t="str">
        <x:v>GBU000079</x:v>
      </x:c>
      <x:c r="E136" s="112" t="str">
        <x:v>CHECK</x:v>
      </x:c>
      <x:c r="F136" s="112" t="str">
        <x:f>IF(P136=0,"Нет offer",IF(AND(J136&gt;0,N136&gt;0),"Цена + остаток",IF(J136&gt;0,"Цена, без остатка",IF(N136&gt;0,"Остаток без цены","Нет цены и остатка"))))</x:f>
        <x:v>Нет цены и остатка</x:v>
      </x:c>
      <x:c r="G136" s="112" t="str">
        <x:f>IF(J136&gt;0,"Да","Нет")</x:f>
        <x:v>Нет</x:v>
      </x:c>
      <x:c r="H136" s="109"/>
      <x:c r="I136" s="109"/>
      <x:c r="J136" s="109" t="n">
        <x:v>0</x:v>
      </x:c>
      <x:c r="K136" s="112" t="str">
        <x:f>IF(N136&gt;0,"Да","Нет")</x:f>
        <x:v>Нет</x:v>
      </x:c>
      <x:c r="L136" s="109" t="n">
        <x:v>0</x:v>
      </x:c>
      <x:c r="M136" s="109" t="n">
        <x:v>0</x:v>
      </x:c>
      <x:c r="N136" s="109" t="n">
        <x:v>0</x:v>
      </x:c>
      <x:c r="O136" s="109" t="n">
        <x:v>0</x:v>
      </x:c>
      <x:c r="P136" s="109" t="n">
        <x:v>396</x:v>
      </x:c>
      <x:c r="Q136" s="113" t="n">
        <x:v>46289</x:v>
      </x:c>
      <x:c r="R136" s="114" t="n">
        <x:v>46231.32518518518</x:v>
      </x:c>
      <x:c r="S136" s="108"/>
    </x:row>
    <x:row r="137">
      <x:c r="A137" s="108" t="str">
        <x:v>GBU000079-2</x:v>
      </x:c>
      <x:c r="B137" s="107" t="str">
        <x:v>Контуринг GBU000079 темно-бежевый</x:v>
      </x:c>
      <x:c r="C137" s="108" t="str">
        <x:v>GBU000079F0002</x:v>
      </x:c>
      <x:c r="D137" s="108" t="str">
        <x:v>GBU000079</x:v>
      </x:c>
      <x:c r="E137" s="112" t="str">
        <x:v>CHECK</x:v>
      </x:c>
      <x:c r="F137" s="112" t="str">
        <x:f>IF(P137=0,"Нет offer",IF(AND(J137&gt;0,N137&gt;0),"Цена + остаток",IF(J137&gt;0,"Цена, без остатка",IF(N137&gt;0,"Остаток без цены","Нет цены и остатка"))))</x:f>
        <x:v>Нет цены и остатка</x:v>
      </x:c>
      <x:c r="G137" s="112" t="str">
        <x:f>IF(J137&gt;0,"Да","Нет")</x:f>
        <x:v>Нет</x:v>
      </x:c>
      <x:c r="H137" s="109"/>
      <x:c r="I137" s="109"/>
      <x:c r="J137" s="109" t="n">
        <x:v>0</x:v>
      </x:c>
      <x:c r="K137" s="112" t="str">
        <x:f>IF(N137&gt;0,"Да","Нет")</x:f>
        <x:v>Нет</x:v>
      </x:c>
      <x:c r="L137" s="109" t="n">
        <x:v>0</x:v>
      </x:c>
      <x:c r="M137" s="109" t="n">
        <x:v>0</x:v>
      </x:c>
      <x:c r="N137" s="109" t="n">
        <x:v>0</x:v>
      </x:c>
      <x:c r="O137" s="109" t="n">
        <x:v>0</x:v>
      </x:c>
      <x:c r="P137" s="109" t="n">
        <x:v>396</x:v>
      </x:c>
      <x:c r="Q137" s="113" t="n">
        <x:v>46289</x:v>
      </x:c>
      <x:c r="R137" s="114" t="n">
        <x:v>46231.32494212963</x:v>
      </x:c>
      <x:c r="S137" s="108"/>
    </x:row>
    <x:row r="138">
      <x:c r="A138" s="108" t="str">
        <x:v>GBU000080-1</x:v>
      </x:c>
      <x:c r="B138" s="107" t="str">
        <x:v>Румяна GBU000080 ярко-розовый</x:v>
      </x:c>
      <x:c r="C138" s="108" t="str">
        <x:v>GBU000080F0003</x:v>
      </x:c>
      <x:c r="D138" s="108" t="str">
        <x:v>GBU000080</x:v>
      </x:c>
      <x:c r="E138" s="112" t="str">
        <x:v>CHECK</x:v>
      </x:c>
      <x:c r="F138" s="112" t="str">
        <x:f>IF(P138=0,"Нет offer",IF(AND(J138&gt;0,N138&gt;0),"Цена + остаток",IF(J138&gt;0,"Цена, без остатка",IF(N138&gt;0,"Остаток без цены","Нет цены и остатка"))))</x:f>
        <x:v>Нет цены и остатка</x:v>
      </x:c>
      <x:c r="G138" s="112" t="str">
        <x:f>IF(J138&gt;0,"Да","Нет")</x:f>
        <x:v>Нет</x:v>
      </x:c>
      <x:c r="H138" s="109"/>
      <x:c r="I138" s="109"/>
      <x:c r="J138" s="109" t="n">
        <x:v>0</x:v>
      </x:c>
      <x:c r="K138" s="112" t="str">
        <x:f>IF(N138&gt;0,"Да","Нет")</x:f>
        <x:v>Нет</x:v>
      </x:c>
      <x:c r="L138" s="109" t="n">
        <x:v>0</x:v>
      </x:c>
      <x:c r="M138" s="109" t="n">
        <x:v>0</x:v>
      </x:c>
      <x:c r="N138" s="109" t="n">
        <x:v>0</x:v>
      </x:c>
      <x:c r="O138" s="109" t="n">
        <x:v>0</x:v>
      </x:c>
      <x:c r="P138" s="109" t="n">
        <x:v>396</x:v>
      </x:c>
      <x:c r="Q138" s="113" t="n">
        <x:v>46289</x:v>
      </x:c>
      <x:c r="R138" s="114" t="n">
        <x:v>46231.32518518518</x:v>
      </x:c>
      <x:c r="S138" s="108"/>
    </x:row>
    <x:row r="139">
      <x:c r="A139" s="108" t="str">
        <x:v>GBU000080-2</x:v>
      </x:c>
      <x:c r="B139" s="107" t="str">
        <x:v>Румяна GBU000080 малиновый</x:v>
      </x:c>
      <x:c r="C139" s="108" t="str">
        <x:v>GBU000080F0001</x:v>
      </x:c>
      <x:c r="D139" s="108" t="str">
        <x:v>GBU000080</x:v>
      </x:c>
      <x:c r="E139" s="112" t="str">
        <x:v>CHECK</x:v>
      </x:c>
      <x:c r="F139" s="112" t="str">
        <x:f>IF(P139=0,"Нет offer",IF(AND(J139&gt;0,N139&gt;0),"Цена + остаток",IF(J139&gt;0,"Цена, без остатка",IF(N139&gt;0,"Остаток без цены","Нет цены и остатка"))))</x:f>
        <x:v>Нет цены и остатка</x:v>
      </x:c>
      <x:c r="G139" s="112" t="str">
        <x:f>IF(J139&gt;0,"Да","Нет")</x:f>
        <x:v>Нет</x:v>
      </x:c>
      <x:c r="H139" s="109"/>
      <x:c r="I139" s="109"/>
      <x:c r="J139" s="109" t="n">
        <x:v>0</x:v>
      </x:c>
      <x:c r="K139" s="112" t="str">
        <x:f>IF(N139&gt;0,"Да","Нет")</x:f>
        <x:v>Нет</x:v>
      </x:c>
      <x:c r="L139" s="109" t="n">
        <x:v>0</x:v>
      </x:c>
      <x:c r="M139" s="109" t="n">
        <x:v>0</x:v>
      </x:c>
      <x:c r="N139" s="109" t="n">
        <x:v>0</x:v>
      </x:c>
      <x:c r="O139" s="109" t="n">
        <x:v>0</x:v>
      </x:c>
      <x:c r="P139" s="109" t="n">
        <x:v>396</x:v>
      </x:c>
      <x:c r="Q139" s="113" t="n">
        <x:v>46289</x:v>
      </x:c>
      <x:c r="R139" s="114" t="n">
        <x:v>46231.32334490741</x:v>
      </x:c>
      <x:c r="S139" s="108"/>
    </x:row>
    <x:row r="140">
      <x:c r="A140" s="108" t="str">
        <x:v>GBU000080-3</x:v>
      </x:c>
      <x:c r="B140" s="107" t="str">
        <x:v>Румяна GBU000080 розовый/бежевый</x:v>
      </x:c>
      <x:c r="C140" s="108" t="str">
        <x:v>GBU000080F0002</x:v>
      </x:c>
      <x:c r="D140" s="108" t="str">
        <x:v>GBU000080</x:v>
      </x:c>
      <x:c r="E140" s="112" t="str">
        <x:v>CHECK</x:v>
      </x:c>
      <x:c r="F140" s="112" t="str">
        <x:f>IF(P140=0,"Нет offer",IF(AND(J140&gt;0,N140&gt;0),"Цена + остаток",IF(J140&gt;0,"Цена, без остатка",IF(N140&gt;0,"Остаток без цены","Нет цены и остатка"))))</x:f>
        <x:v>Нет цены и остатка</x:v>
      </x:c>
      <x:c r="G140" s="112" t="str">
        <x:f>IF(J140&gt;0,"Да","Нет")</x:f>
        <x:v>Нет</x:v>
      </x:c>
      <x:c r="H140" s="109"/>
      <x:c r="I140" s="109"/>
      <x:c r="J140" s="109" t="n">
        <x:v>0</x:v>
      </x:c>
      <x:c r="K140" s="112" t="str">
        <x:f>IF(N140&gt;0,"Да","Нет")</x:f>
        <x:v>Нет</x:v>
      </x:c>
      <x:c r="L140" s="109" t="n">
        <x:v>0</x:v>
      </x:c>
      <x:c r="M140" s="109" t="n">
        <x:v>0</x:v>
      </x:c>
      <x:c r="N140" s="109" t="n">
        <x:v>0</x:v>
      </x:c>
      <x:c r="O140" s="109" t="n">
        <x:v>0</x:v>
      </x:c>
      <x:c r="P140" s="109" t="n">
        <x:v>396</x:v>
      </x:c>
      <x:c r="Q140" s="113" t="n">
        <x:v>46289</x:v>
      </x:c>
      <x:c r="R140" s="114" t="n">
        <x:v>46253.25733796296</x:v>
      </x:c>
      <x:c r="S140" s="108"/>
    </x:row>
    <x:row r="141">
      <x:c r="A141" s="108" t="str">
        <x:v>GBU000094-1</x:v>
      </x:c>
      <x:c r="B141" s="107" t="str">
        <x:v>Переводные татуировки GBU000094 голографический</x:v>
      </x:c>
      <x:c r="C141" s="108" t="str">
        <x:v>GBU000094F0001</x:v>
      </x:c>
      <x:c r="D141" s="108" t="str">
        <x:v>GBU000094</x:v>
      </x:c>
      <x:c r="E141" s="112" t="str">
        <x:v>CHECK</x:v>
      </x:c>
      <x:c r="F141" s="112" t="str">
        <x:f>IF(P141=0,"Нет offer",IF(AND(J141&gt;0,N141&gt;0),"Цена + остаток",IF(J141&gt;0,"Цена, без остатка",IF(N141&gt;0,"Остаток без цены","Нет цены и остатка"))))</x:f>
        <x:v>Нет цены и остатка</x:v>
      </x:c>
      <x:c r="G141" s="112" t="str">
        <x:f>IF(J141&gt;0,"Да","Нет")</x:f>
        <x:v>Нет</x:v>
      </x:c>
      <x:c r="H141" s="109"/>
      <x:c r="I141" s="109"/>
      <x:c r="J141" s="109" t="n">
        <x:v>0</x:v>
      </x:c>
      <x:c r="K141" s="112" t="str">
        <x:f>IF(N141&gt;0,"Да","Нет")</x:f>
        <x:v>Нет</x:v>
      </x:c>
      <x:c r="L141" s="109" t="n">
        <x:v>0</x:v>
      </x:c>
      <x:c r="M141" s="109" t="n">
        <x:v>0</x:v>
      </x:c>
      <x:c r="N141" s="109" t="n">
        <x:v>0</x:v>
      </x:c>
      <x:c r="O141" s="109" t="n">
        <x:v>0</x:v>
      </x:c>
      <x:c r="P141" s="109" t="n">
        <x:v>396</x:v>
      </x:c>
      <x:c r="Q141" s="113" t="n">
        <x:v>46303</x:v>
      </x:c>
      <x:c r="R141" s="114" t="n">
        <x:v>46249.323113425926</x:v>
      </x:c>
      <x:c r="S141" s="108"/>
    </x:row>
    <x:row r="142">
      <x:c r="A142" s="108" t="str">
        <x:v>GBU000094-2</x:v>
      </x:c>
      <x:c r="B142" s="107" t="str">
        <x:v>Переводные татуировки GBU000094 золотистый</x:v>
      </x:c>
      <x:c r="C142" s="108" t="str">
        <x:v>GBU000094F0002</x:v>
      </x:c>
      <x:c r="D142" s="108" t="str">
        <x:v>GBU000094</x:v>
      </x:c>
      <x:c r="E142" s="112" t="str">
        <x:v>CHECK</x:v>
      </x:c>
      <x:c r="F142" s="112" t="str">
        <x:f>IF(P142=0,"Нет offer",IF(AND(J142&gt;0,N142&gt;0),"Цена + остаток",IF(J142&gt;0,"Цена, без остатка",IF(N142&gt;0,"Остаток без цены","Нет цены и остатка"))))</x:f>
        <x:v>Нет цены и остатка</x:v>
      </x:c>
      <x:c r="G142" s="112" t="str">
        <x:f>IF(J142&gt;0,"Да","Нет")</x:f>
        <x:v>Нет</x:v>
      </x:c>
      <x:c r="H142" s="109"/>
      <x:c r="I142" s="109"/>
      <x:c r="J142" s="109" t="n">
        <x:v>0</x:v>
      </x:c>
      <x:c r="K142" s="112" t="str">
        <x:f>IF(N142&gt;0,"Да","Нет")</x:f>
        <x:v>Нет</x:v>
      </x:c>
      <x:c r="L142" s="109" t="n">
        <x:v>0</x:v>
      </x:c>
      <x:c r="M142" s="109" t="n">
        <x:v>0</x:v>
      </x:c>
      <x:c r="N142" s="109" t="n">
        <x:v>0</x:v>
      </x:c>
      <x:c r="O142" s="109" t="n">
        <x:v>0</x:v>
      </x:c>
      <x:c r="P142" s="109" t="n">
        <x:v>396</x:v>
      </x:c>
      <x:c r="Q142" s="113" t="n">
        <x:v>46303</x:v>
      </x:c>
      <x:c r="R142" s="114" t="n">
        <x:v>46249.32640046296</x:v>
      </x:c>
      <x:c r="S142" s="108"/>
    </x:row>
    <x:row r="143">
      <x:c r="A143" s="108" t="str">
        <x:v>GBU000095-1</x:v>
      </x:c>
      <x:c r="B143" s="107" t="str">
        <x:v>Спонж для макияжа GBU000095 серебристый</x:v>
      </x:c>
      <x:c r="C143" s="108" t="str">
        <x:v>GBU000095F0001</x:v>
      </x:c>
      <x:c r="D143" s="108" t="str">
        <x:v>GBU000095</x:v>
      </x:c>
      <x:c r="E143" s="112" t="str">
        <x:v>CHECK</x:v>
      </x:c>
      <x:c r="F143" s="112" t="str">
        <x:f>IF(P143=0,"Нет offer",IF(AND(J143&gt;0,N143&gt;0),"Цена + остаток",IF(J143&gt;0,"Цена, без остатка",IF(N143&gt;0,"Остаток без цены","Нет цены и остатка"))))</x:f>
        <x:v>Нет цены и остатка</x:v>
      </x:c>
      <x:c r="G143" s="112" t="str">
        <x:f>IF(J143&gt;0,"Да","Нет")</x:f>
        <x:v>Нет</x:v>
      </x:c>
      <x:c r="H143" s="109"/>
      <x:c r="I143" s="109"/>
      <x:c r="J143" s="109" t="n">
        <x:v>0</x:v>
      </x:c>
      <x:c r="K143" s="112" t="str">
        <x:f>IF(N143&gt;0,"Да","Нет")</x:f>
        <x:v>Нет</x:v>
      </x:c>
      <x:c r="L143" s="109" t="n">
        <x:v>0</x:v>
      </x:c>
      <x:c r="M143" s="109" t="n">
        <x:v>0</x:v>
      </x:c>
      <x:c r="N143" s="109" t="n">
        <x:v>0</x:v>
      </x:c>
      <x:c r="O143" s="109" t="n">
        <x:v>0</x:v>
      </x:c>
      <x:c r="P143" s="109" t="n">
        <x:v>396</x:v>
      </x:c>
      <x:c r="Q143" s="113" t="n">
        <x:v>46317</x:v>
      </x:c>
      <x:c r="R143" s="114" t="n">
        <x:v>46234.325370370374</x:v>
      </x:c>
      <x:c r="S143" s="108"/>
    </x:row>
    <x:row r="144">
      <x:c r="A144" s="108" t="str">
        <x:v>GBU000099-1</x:v>
      </x:c>
      <x:c r="B144" s="107" t="str">
        <x:v>Наклейки для ногтей GBU000099 разноцветный</x:v>
      </x:c>
      <x:c r="C144" s="108" t="str">
        <x:v>GBU000099F0001</x:v>
      </x:c>
      <x:c r="D144" s="108" t="str">
        <x:v>GBU000099</x:v>
      </x:c>
      <x:c r="E144" s="112" t="str">
        <x:v>CHECK</x:v>
      </x:c>
      <x:c r="F144" s="112" t="str">
        <x:f>IF(P144=0,"Нет offer",IF(AND(J144&gt;0,N144&gt;0),"Цена + остаток",IF(J144&gt;0,"Цена, без остатка",IF(N144&gt;0,"Остаток без цены","Нет цены и остатка"))))</x:f>
        <x:v>Нет цены и остатка</x:v>
      </x:c>
      <x:c r="G144" s="112" t="str">
        <x:f>IF(J144&gt;0,"Да","Нет")</x:f>
        <x:v>Нет</x:v>
      </x:c>
      <x:c r="H144" s="109"/>
      <x:c r="I144" s="109"/>
      <x:c r="J144" s="109" t="n">
        <x:v>0</x:v>
      </x:c>
      <x:c r="K144" s="112" t="str">
        <x:f>IF(N144&gt;0,"Да","Нет")</x:f>
        <x:v>Нет</x:v>
      </x:c>
      <x:c r="L144" s="109" t="n">
        <x:v>0</x:v>
      </x:c>
      <x:c r="M144" s="109" t="n">
        <x:v>0</x:v>
      </x:c>
      <x:c r="N144" s="109" t="n">
        <x:v>0</x:v>
      </x:c>
      <x:c r="O144" s="109" t="n">
        <x:v>0</x:v>
      </x:c>
      <x:c r="P144" s="109" t="n">
        <x:v>396</x:v>
      </x:c>
      <x:c r="Q144" s="113"/>
      <x:c r="R144" s="114" t="n">
        <x:v>46249.30315972222</x:v>
      </x:c>
      <x:c r="S144" s="108"/>
    </x:row>
    <x:row r="145">
      <x:c r="A145" s="108" t="str">
        <x:v>GBU000100-1</x:v>
      </x:c>
      <x:c r="B145" s="107" t="str">
        <x:v>Наклейки для ногтей GBU000100 разноцветный</x:v>
      </x:c>
      <x:c r="C145" s="108" t="str">
        <x:v>GBU000100F0001</x:v>
      </x:c>
      <x:c r="D145" s="108" t="str">
        <x:v>GBU000100</x:v>
      </x:c>
      <x:c r="E145" s="112" t="str">
        <x:v>CHECK</x:v>
      </x:c>
      <x:c r="F145" s="112" t="str">
        <x:f>IF(P145=0,"Нет offer",IF(AND(J145&gt;0,N145&gt;0),"Цена + остаток",IF(J145&gt;0,"Цена, без остатка",IF(N145&gt;0,"Остаток без цены","Нет цены и остатка"))))</x:f>
        <x:v>Нет цены и остатка</x:v>
      </x:c>
      <x:c r="G145" s="112" t="str">
        <x:f>IF(J145&gt;0,"Да","Нет")</x:f>
        <x:v>Нет</x:v>
      </x:c>
      <x:c r="H145" s="109"/>
      <x:c r="I145" s="109"/>
      <x:c r="J145" s="109" t="n">
        <x:v>0</x:v>
      </x:c>
      <x:c r="K145" s="112" t="str">
        <x:f>IF(N145&gt;0,"Да","Нет")</x:f>
        <x:v>Нет</x:v>
      </x:c>
      <x:c r="L145" s="109" t="n">
        <x:v>0</x:v>
      </x:c>
      <x:c r="M145" s="109" t="n">
        <x:v>0</x:v>
      </x:c>
      <x:c r="N145" s="109" t="n">
        <x:v>0</x:v>
      </x:c>
      <x:c r="O145" s="109" t="n">
        <x:v>0</x:v>
      </x:c>
      <x:c r="P145" s="109" t="n">
        <x:v>396</x:v>
      </x:c>
      <x:c r="Q145" s="113"/>
      <x:c r="R145" s="114" t="n">
        <x:v>46249.3234375</x:v>
      </x:c>
      <x:c r="S145" s="108"/>
    </x:row>
    <x:row r="146">
      <x:c r="A146" s="108" t="str">
        <x:v>GBU000101-1</x:v>
      </x:c>
      <x:c r="B146" s="107" t="str">
        <x:v>Наклейки для ногтей GBU000101 разноцветный</x:v>
      </x:c>
      <x:c r="C146" s="108" t="str">
        <x:v>GBU000101F0001</x:v>
      </x:c>
      <x:c r="D146" s="108" t="str">
        <x:v>GBU000101</x:v>
      </x:c>
      <x:c r="E146" s="112" t="str">
        <x:v>CHECK</x:v>
      </x:c>
      <x:c r="F146" s="112" t="str">
        <x:f>IF(P146=0,"Нет offer",IF(AND(J146&gt;0,N146&gt;0),"Цена + остаток",IF(J146&gt;0,"Цена, без остатка",IF(N146&gt;0,"Остаток без цены","Нет цены и остатка"))))</x:f>
        <x:v>Нет цены и остатка</x:v>
      </x:c>
      <x:c r="G146" s="112" t="str">
        <x:f>IF(J146&gt;0,"Да","Нет")</x:f>
        <x:v>Нет</x:v>
      </x:c>
      <x:c r="H146" s="109"/>
      <x:c r="I146" s="109"/>
      <x:c r="J146" s="109" t="n">
        <x:v>0</x:v>
      </x:c>
      <x:c r="K146" s="112" t="str">
        <x:f>IF(N146&gt;0,"Да","Нет")</x:f>
        <x:v>Нет</x:v>
      </x:c>
      <x:c r="L146" s="109" t="n">
        <x:v>0</x:v>
      </x:c>
      <x:c r="M146" s="109" t="n">
        <x:v>0</x:v>
      </x:c>
      <x:c r="N146" s="109" t="n">
        <x:v>0</x:v>
      </x:c>
      <x:c r="O146" s="109" t="n">
        <x:v>0</x:v>
      </x:c>
      <x:c r="P146" s="109" t="n">
        <x:v>396</x:v>
      </x:c>
      <x:c r="Q146" s="113"/>
      <x:c r="R146" s="114" t="n">
        <x:v>46249.30315972222</x:v>
      </x:c>
      <x:c r="S146" s="108"/>
    </x:row>
    <x:row r="147">
      <x:c r="A147" s="108" t="str">
        <x:v>GBU000102-1</x:v>
      </x:c>
      <x:c r="B147" s="107" t="str">
        <x:v>Наклейки для ногтей GBU000102 разноцветный</x:v>
      </x:c>
      <x:c r="C147" s="108" t="str">
        <x:v>GBU000102F0001</x:v>
      </x:c>
      <x:c r="D147" s="108" t="str">
        <x:v>GBU000102</x:v>
      </x:c>
      <x:c r="E147" s="112" t="str">
        <x:v>CHECK</x:v>
      </x:c>
      <x:c r="F147" s="112" t="str">
        <x:f>IF(P147=0,"Нет offer",IF(AND(J147&gt;0,N147&gt;0),"Цена + остаток",IF(J147&gt;0,"Цена, без остатка",IF(N147&gt;0,"Остаток без цены","Нет цены и остатка"))))</x:f>
        <x:v>Нет цены и остатка</x:v>
      </x:c>
      <x:c r="G147" s="112" t="str">
        <x:f>IF(J147&gt;0,"Да","Нет")</x:f>
        <x:v>Нет</x:v>
      </x:c>
      <x:c r="H147" s="109"/>
      <x:c r="I147" s="109"/>
      <x:c r="J147" s="109" t="n">
        <x:v>0</x:v>
      </x:c>
      <x:c r="K147" s="112" t="str">
        <x:f>IF(N147&gt;0,"Да","Нет")</x:f>
        <x:v>Нет</x:v>
      </x:c>
      <x:c r="L147" s="109" t="n">
        <x:v>0</x:v>
      </x:c>
      <x:c r="M147" s="109" t="n">
        <x:v>0</x:v>
      </x:c>
      <x:c r="N147" s="109" t="n">
        <x:v>0</x:v>
      </x:c>
      <x:c r="O147" s="109" t="n">
        <x:v>0</x:v>
      </x:c>
      <x:c r="P147" s="109" t="n">
        <x:v>396</x:v>
      </x:c>
      <x:c r="Q147" s="113" t="n">
        <x:v>46303</x:v>
      </x:c>
      <x:c r="R147" s="114" t="n">
        <x:v>46249.32542824074</x:v>
      </x:c>
      <x:c r="S147" s="108"/>
    </x:row>
    <x:row r="148">
      <x:c r="A148" s="108" t="str">
        <x:v>GBU000103-1</x:v>
      </x:c>
      <x:c r="B148" s="107" t="str">
        <x:v>Наклейки для ногтей GBU000103 разноцветный</x:v>
      </x:c>
      <x:c r="C148" s="108" t="str">
        <x:v>GBU000103F0001</x:v>
      </x:c>
      <x:c r="D148" s="108" t="str">
        <x:v>GBU000103</x:v>
      </x:c>
      <x:c r="E148" s="112" t="str">
        <x:v>CHECK</x:v>
      </x:c>
      <x:c r="F148" s="112" t="str">
        <x:f>IF(P148=0,"Нет offer",IF(AND(J148&gt;0,N148&gt;0),"Цена + остаток",IF(J148&gt;0,"Цена, без остатка",IF(N148&gt;0,"Остаток без цены","Нет цены и остатка"))))</x:f>
        <x:v>Нет цены и остатка</x:v>
      </x:c>
      <x:c r="G148" s="112" t="str">
        <x:f>IF(J148&gt;0,"Да","Нет")</x:f>
        <x:v>Нет</x:v>
      </x:c>
      <x:c r="H148" s="109"/>
      <x:c r="I148" s="109"/>
      <x:c r="J148" s="109" t="n">
        <x:v>0</x:v>
      </x:c>
      <x:c r="K148" s="112" t="str">
        <x:f>IF(N148&gt;0,"Да","Нет")</x:f>
        <x:v>Нет</x:v>
      </x:c>
      <x:c r="L148" s="109" t="n">
        <x:v>0</x:v>
      </x:c>
      <x:c r="M148" s="109" t="n">
        <x:v>0</x:v>
      </x:c>
      <x:c r="N148" s="109" t="n">
        <x:v>0</x:v>
      </x:c>
      <x:c r="O148" s="109" t="n">
        <x:v>0</x:v>
      </x:c>
      <x:c r="P148" s="109" t="n">
        <x:v>396</x:v>
      </x:c>
      <x:c r="Q148" s="113" t="n">
        <x:v>46303</x:v>
      </x:c>
      <x:c r="R148" s="114" t="n">
        <x:v>46249.32546296297</x:v>
      </x:c>
      <x:c r="S148" s="108"/>
    </x:row>
    <x:row r="149">
      <x:c r="A149" s="108" t="str">
        <x:v>GBU000104-1</x:v>
      </x:c>
      <x:c r="B149" s="107" t="str">
        <x:v>Трафареты GBU000104 разноцветный</x:v>
      </x:c>
      <x:c r="C149" s="108" t="str">
        <x:v>GBU000104F0001</x:v>
      </x:c>
      <x:c r="D149" s="108" t="str">
        <x:v>GBU000104</x:v>
      </x:c>
      <x:c r="E149" s="112" t="str">
        <x:v>CHECK</x:v>
      </x:c>
      <x:c r="F149" s="112" t="str">
        <x:f>IF(P149=0,"Нет offer",IF(AND(J149&gt;0,N149&gt;0),"Цена + остаток",IF(J149&gt;0,"Цена, без остатка",IF(N149&gt;0,"Остаток без цены","Нет цены и остатка"))))</x:f>
        <x:v>Нет цены и остатка</x:v>
      </x:c>
      <x:c r="G149" s="112" t="str">
        <x:f>IF(J149&gt;0,"Да","Нет")</x:f>
        <x:v>Нет</x:v>
      </x:c>
      <x:c r="H149" s="109"/>
      <x:c r="I149" s="109"/>
      <x:c r="J149" s="109" t="n">
        <x:v>0</x:v>
      </x:c>
      <x:c r="K149" s="112" t="str">
        <x:f>IF(N149&gt;0,"Да","Нет")</x:f>
        <x:v>Нет</x:v>
      </x:c>
      <x:c r="L149" s="109" t="n">
        <x:v>0</x:v>
      </x:c>
      <x:c r="M149" s="109" t="n">
        <x:v>0</x:v>
      </x:c>
      <x:c r="N149" s="109" t="n">
        <x:v>0</x:v>
      </x:c>
      <x:c r="O149" s="109" t="n">
        <x:v>0</x:v>
      </x:c>
      <x:c r="P149" s="109" t="n">
        <x:v>396</x:v>
      </x:c>
      <x:c r="Q149" s="113" t="n">
        <x:v>46303</x:v>
      </x:c>
      <x:c r="R149" s="114" t="n">
        <x:v>46249.323113425926</x:v>
      </x:c>
      <x:c r="S149" s="108"/>
    </x:row>
    <x:row r="150">
      <x:c r="A150" s="108" t="str">
        <x:v>GBU000107-1</x:v>
      </x:c>
      <x:c r="B150" s="107" t="str">
        <x:v>Стразы для лица GBU000107 разноцветный</x:v>
      </x:c>
      <x:c r="C150" s="108" t="str">
        <x:v>GBU000107F0001</x:v>
      </x:c>
      <x:c r="D150" s="108" t="str">
        <x:v>GBU000107</x:v>
      </x:c>
      <x:c r="E150" s="112" t="str">
        <x:v>CHECK</x:v>
      </x:c>
      <x:c r="F150" s="112" t="str">
        <x:f>IF(P150=0,"Нет offer",IF(AND(J150&gt;0,N150&gt;0),"Цена + остаток",IF(J150&gt;0,"Цена, без остатка",IF(N150&gt;0,"Остаток без цены","Нет цены и остатка"))))</x:f>
        <x:v>Нет цены и остатка</x:v>
      </x:c>
      <x:c r="G150" s="112" t="str">
        <x:f>IF(J150&gt;0,"Да","Нет")</x:f>
        <x:v>Нет</x:v>
      </x:c>
      <x:c r="H150" s="109"/>
      <x:c r="I150" s="109"/>
      <x:c r="J150" s="109" t="n">
        <x:v>0</x:v>
      </x:c>
      <x:c r="K150" s="112" t="str">
        <x:f>IF(N150&gt;0,"Да","Нет")</x:f>
        <x:v>Нет</x:v>
      </x:c>
      <x:c r="L150" s="109" t="n">
        <x:v>0</x:v>
      </x:c>
      <x:c r="M150" s="109" t="n">
        <x:v>0</x:v>
      </x:c>
      <x:c r="N150" s="109" t="n">
        <x:v>0</x:v>
      </x:c>
      <x:c r="O150" s="109" t="n">
        <x:v>0</x:v>
      </x:c>
      <x:c r="P150" s="109" t="n">
        <x:v>396</x:v>
      </x:c>
      <x:c r="Q150" s="113" t="n">
        <x:v>46303</x:v>
      </x:c>
      <x:c r="R150" s="114" t="n">
        <x:v>46249.32546296297</x:v>
      </x:c>
      <x:c r="S150" s="108"/>
    </x:row>
    <x:row r="151">
      <x:c r="A151" s="108" t="str">
        <x:v>GBU000108-1</x:v>
      </x:c>
      <x:c r="B151" s="107" t="str">
        <x:v>Стразы для лица GBU000108 серебристый</x:v>
      </x:c>
      <x:c r="C151" s="108" t="str">
        <x:v>GBU000108F0001</x:v>
      </x:c>
      <x:c r="D151" s="108" t="str">
        <x:v>GBU000108</x:v>
      </x:c>
      <x:c r="E151" s="112" t="str">
        <x:v>CHECK</x:v>
      </x:c>
      <x:c r="F151" s="112" t="str">
        <x:f>IF(P151=0,"Нет offer",IF(AND(J151&gt;0,N151&gt;0),"Цена + остаток",IF(J151&gt;0,"Цена, без остатка",IF(N151&gt;0,"Остаток без цены","Нет цены и остатка"))))</x:f>
        <x:v>Нет цены и остатка</x:v>
      </x:c>
      <x:c r="G151" s="112" t="str">
        <x:f>IF(J151&gt;0,"Да","Нет")</x:f>
        <x:v>Нет</x:v>
      </x:c>
      <x:c r="H151" s="109"/>
      <x:c r="I151" s="109"/>
      <x:c r="J151" s="109" t="n">
        <x:v>0</x:v>
      </x:c>
      <x:c r="K151" s="112" t="str">
        <x:f>IF(N151&gt;0,"Да","Нет")</x:f>
        <x:v>Нет</x:v>
      </x:c>
      <x:c r="L151" s="109" t="n">
        <x:v>0</x:v>
      </x:c>
      <x:c r="M151" s="109" t="n">
        <x:v>0</x:v>
      </x:c>
      <x:c r="N151" s="109" t="n">
        <x:v>0</x:v>
      </x:c>
      <x:c r="O151" s="109" t="n">
        <x:v>0</x:v>
      </x:c>
      <x:c r="P151" s="109" t="n">
        <x:v>396</x:v>
      </x:c>
      <x:c r="Q151" s="113"/>
      <x:c r="R151" s="114" t="n">
        <x:v>46249.3234375</x:v>
      </x:c>
      <x:c r="S151" s="108"/>
    </x:row>
    <x:row r="152">
      <x:c r="A152" s="108" t="str">
        <x:v>GBU000109-1</x:v>
      </x:c>
      <x:c r="B152" s="107" t="str">
        <x:v>Переводные татуировки GBU000109 разноцветный</x:v>
      </x:c>
      <x:c r="C152" s="108" t="str">
        <x:v>GBU000109F0001</x:v>
      </x:c>
      <x:c r="D152" s="108" t="str">
        <x:v>GBU000109</x:v>
      </x:c>
      <x:c r="E152" s="112" t="str">
        <x:v>CHECK</x:v>
      </x:c>
      <x:c r="F152" s="112" t="str">
        <x:f>IF(P152=0,"Нет offer",IF(AND(J152&gt;0,N152&gt;0),"Цена + остаток",IF(J152&gt;0,"Цена, без остатка",IF(N152&gt;0,"Остаток без цены","Нет цены и остатка"))))</x:f>
        <x:v>Нет цены и остатка</x:v>
      </x:c>
      <x:c r="G152" s="112" t="str">
        <x:f>IF(J152&gt;0,"Да","Нет")</x:f>
        <x:v>Нет</x:v>
      </x:c>
      <x:c r="H152" s="109"/>
      <x:c r="I152" s="109"/>
      <x:c r="J152" s="109" t="n">
        <x:v>0</x:v>
      </x:c>
      <x:c r="K152" s="112" t="str">
        <x:f>IF(N152&gt;0,"Да","Нет")</x:f>
        <x:v>Нет</x:v>
      </x:c>
      <x:c r="L152" s="109" t="n">
        <x:v>0</x:v>
      </x:c>
      <x:c r="M152" s="109" t="n">
        <x:v>0</x:v>
      </x:c>
      <x:c r="N152" s="109" t="n">
        <x:v>0</x:v>
      </x:c>
      <x:c r="O152" s="109" t="n">
        <x:v>0</x:v>
      </x:c>
      <x:c r="P152" s="109" t="n">
        <x:v>396</x:v>
      </x:c>
      <x:c r="Q152" s="113" t="n">
        <x:v>46303</x:v>
      </x:c>
      <x:c r="R152" s="114" t="n">
        <x:v>46249.323113425926</x:v>
      </x:c>
      <x:c r="S152" s="108"/>
    </x:row>
    <x:row r="153">
      <x:c r="A153" s="108" t="str">
        <x:v>GBU000110-1</x:v>
      </x:c>
      <x:c r="B153" s="107" t="str">
        <x:v>Переводные татуировки GBU000110 разноцветный</x:v>
      </x:c>
      <x:c r="C153" s="108" t="str">
        <x:v>GBU000110F0001</x:v>
      </x:c>
      <x:c r="D153" s="108" t="str">
        <x:v>GBU000110</x:v>
      </x:c>
      <x:c r="E153" s="112" t="str">
        <x:v>CHECK</x:v>
      </x:c>
      <x:c r="F153" s="112" t="str">
        <x:f>IF(P153=0,"Нет offer",IF(AND(J153&gt;0,N153&gt;0),"Цена + остаток",IF(J153&gt;0,"Цена, без остатка",IF(N153&gt;0,"Остаток без цены","Нет цены и остатка"))))</x:f>
        <x:v>Нет цены и остатка</x:v>
      </x:c>
      <x:c r="G153" s="112" t="str">
        <x:f>IF(J153&gt;0,"Да","Нет")</x:f>
        <x:v>Нет</x:v>
      </x:c>
      <x:c r="H153" s="109"/>
      <x:c r="I153" s="109"/>
      <x:c r="J153" s="109" t="n">
        <x:v>0</x:v>
      </x:c>
      <x:c r="K153" s="112" t="str">
        <x:f>IF(N153&gt;0,"Да","Нет")</x:f>
        <x:v>Нет</x:v>
      </x:c>
      <x:c r="L153" s="109" t="n">
        <x:v>0</x:v>
      </x:c>
      <x:c r="M153" s="109" t="n">
        <x:v>0</x:v>
      </x:c>
      <x:c r="N153" s="109" t="n">
        <x:v>0</x:v>
      </x:c>
      <x:c r="O153" s="109" t="n">
        <x:v>0</x:v>
      </x:c>
      <x:c r="P153" s="109" t="n">
        <x:v>396</x:v>
      </x:c>
      <x:c r="Q153" s="113" t="n">
        <x:v>46303</x:v>
      </x:c>
      <x:c r="R153" s="114" t="n">
        <x:v>46249.32545138889</x:v>
      </x:c>
      <x:c r="S153" s="108"/>
    </x:row>
    <x:row r="154">
      <x:c r="A154" s="108" t="str">
        <x:v>GBU000111-1</x:v>
      </x:c>
      <x:c r="B154" s="107" t="str">
        <x:v>Переводные татуировки GBU000111 разноцветный</x:v>
      </x:c>
      <x:c r="C154" s="108" t="str">
        <x:v>GBU000111F0001</x:v>
      </x:c>
      <x:c r="D154" s="108" t="str">
        <x:v>GBU000111</x:v>
      </x:c>
      <x:c r="E154" s="112" t="str">
        <x:v>CHECK</x:v>
      </x:c>
      <x:c r="F154" s="112" t="str">
        <x:f>IF(P154=0,"Нет offer",IF(AND(J154&gt;0,N154&gt;0),"Цена + остаток",IF(J154&gt;0,"Цена, без остатка",IF(N154&gt;0,"Остаток без цены","Нет цены и остатка"))))</x:f>
        <x:v>Нет цены и остатка</x:v>
      </x:c>
      <x:c r="G154" s="112" t="str">
        <x:f>IF(J154&gt;0,"Да","Нет")</x:f>
        <x:v>Нет</x:v>
      </x:c>
      <x:c r="H154" s="109"/>
      <x:c r="I154" s="109"/>
      <x:c r="J154" s="109" t="n">
        <x:v>0</x:v>
      </x:c>
      <x:c r="K154" s="112" t="str">
        <x:f>IF(N154&gt;0,"Да","Нет")</x:f>
        <x:v>Нет</x:v>
      </x:c>
      <x:c r="L154" s="109" t="n">
        <x:v>0</x:v>
      </x:c>
      <x:c r="M154" s="109" t="n">
        <x:v>0</x:v>
      </x:c>
      <x:c r="N154" s="109" t="n">
        <x:v>0</x:v>
      </x:c>
      <x:c r="O154" s="109" t="n">
        <x:v>0</x:v>
      </x:c>
      <x:c r="P154" s="109" t="n">
        <x:v>396</x:v>
      </x:c>
      <x:c r="Q154" s="113"/>
      <x:c r="R154" s="114" t="n">
        <x:v>46249.323969907404</x:v>
      </x:c>
      <x:c r="S154" s="108"/>
    </x:row>
    <x:row r="155">
      <x:c r="A155" s="108" t="str">
        <x:v>GBU000112-1</x:v>
      </x:c>
      <x:c r="B155" s="107" t="str">
        <x:v>Переводные татуировки GBU000112 разноцветный</x:v>
      </x:c>
      <x:c r="C155" s="108" t="str">
        <x:v>GBU000112F0001</x:v>
      </x:c>
      <x:c r="D155" s="108" t="str">
        <x:v>GBU000112</x:v>
      </x:c>
      <x:c r="E155" s="112" t="str">
        <x:v>CHECK</x:v>
      </x:c>
      <x:c r="F155" s="112" t="str">
        <x:f>IF(P155=0,"Нет offer",IF(AND(J155&gt;0,N155&gt;0),"Цена + остаток",IF(J155&gt;0,"Цена, без остатка",IF(N155&gt;0,"Остаток без цены","Нет цены и остатка"))))</x:f>
        <x:v>Нет цены и остатка</x:v>
      </x:c>
      <x:c r="G155" s="112" t="str">
        <x:f>IF(J155&gt;0,"Да","Нет")</x:f>
        <x:v>Нет</x:v>
      </x:c>
      <x:c r="H155" s="109"/>
      <x:c r="I155" s="109"/>
      <x:c r="J155" s="109" t="n">
        <x:v>0</x:v>
      </x:c>
      <x:c r="K155" s="112" t="str">
        <x:f>IF(N155&gt;0,"Да","Нет")</x:f>
        <x:v>Нет</x:v>
      </x:c>
      <x:c r="L155" s="109" t="n">
        <x:v>0</x:v>
      </x:c>
      <x:c r="M155" s="109" t="n">
        <x:v>0</x:v>
      </x:c>
      <x:c r="N155" s="109" t="n">
        <x:v>0</x:v>
      </x:c>
      <x:c r="O155" s="109" t="n">
        <x:v>0</x:v>
      </x:c>
      <x:c r="P155" s="109" t="n">
        <x:v>396</x:v>
      </x:c>
      <x:c r="Q155" s="113" t="n">
        <x:v>46303</x:v>
      </x:c>
      <x:c r="R155" s="114" t="n">
        <x:v>46249.32546296297</x:v>
      </x:c>
      <x:c r="S155" s="108"/>
    </x:row>
    <x:row r="156">
      <x:c r="A156" s="108" t="str">
        <x:v>GBU000113-1</x:v>
      </x:c>
      <x:c r="B156" s="107" t="str">
        <x:v>Переводные татуировки GBU000113 золотистый</x:v>
      </x:c>
      <x:c r="C156" s="108" t="str">
        <x:v>GBU000113F0001</x:v>
      </x:c>
      <x:c r="D156" s="108" t="str">
        <x:v>GBU000113</x:v>
      </x:c>
      <x:c r="E156" s="112" t="str">
        <x:v>CHECK</x:v>
      </x:c>
      <x:c r="F156" s="112" t="str">
        <x:f>IF(P156=0,"Нет offer",IF(AND(J156&gt;0,N156&gt;0),"Цена + остаток",IF(J156&gt;0,"Цена, без остатка",IF(N156&gt;0,"Остаток без цены","Нет цены и остатка"))))</x:f>
        <x:v>Нет цены и остатка</x:v>
      </x:c>
      <x:c r="G156" s="112" t="str">
        <x:f>IF(J156&gt;0,"Да","Нет")</x:f>
        <x:v>Нет</x:v>
      </x:c>
      <x:c r="H156" s="109"/>
      <x:c r="I156" s="109"/>
      <x:c r="J156" s="109" t="n">
        <x:v>0</x:v>
      </x:c>
      <x:c r="K156" s="112" t="str">
        <x:f>IF(N156&gt;0,"Да","Нет")</x:f>
        <x:v>Нет</x:v>
      </x:c>
      <x:c r="L156" s="109" t="n">
        <x:v>0</x:v>
      </x:c>
      <x:c r="M156" s="109" t="n">
        <x:v>0</x:v>
      </x:c>
      <x:c r="N156" s="109" t="n">
        <x:v>0</x:v>
      </x:c>
      <x:c r="O156" s="109" t="n">
        <x:v>0</x:v>
      </x:c>
      <x:c r="P156" s="109" t="n">
        <x:v>396</x:v>
      </x:c>
      <x:c r="Q156" s="113"/>
      <x:c r="R156" s="114" t="n">
        <x:v>46249.323275462964</x:v>
      </x:c>
      <x:c r="S156" s="108"/>
    </x:row>
  </x:sheetData>
  <x:mergeCells>
    <x:mergeCell ref="A1:S1"/>
    <x:mergeCell ref="A2:S2"/>
  </x:mergeCells>
  <x:conditionalFormatting sqref="F4:F156">
    <x:cfRule type="containsText" dxfId="2" priority="1" operator="containsText" text="Цена + остаток"/>
    <x:cfRule type="containsText" dxfId="3" priority="2" operator="containsText" text="Цена, без остатка"/>
    <x:cfRule type="containsText" dxfId="4" priority="3" operator="containsText" text="Нет цены и остатка"/>
    <x:cfRule type="containsText" dxfId="5" priority="4" operator="containsText" text="Нет offer"/>
  </x:conditionalFormatting>
  <x:conditionalFormatting sqref="E4:E156">
    <x:cfRule type="containsText" dxfId="6" priority="5" operator="containsText" text="CHECK"/>
    <x:cfRule type="containsText" dxfId="7" priority="6" operator="containsText" text="APPROVED"/>
  </x:conditionalFormatting>
  <x:conditionalFormatting sqref="G4:G156">
    <x:cfRule type="containsText" dxfId="8" priority="7" operator="containsText" text="Да"/>
    <x:cfRule type="containsText" dxfId="9" priority="8" operator="containsText" text="Нет"/>
  </x:conditionalFormatting>
  <x:conditionalFormatting sqref="K4:K156">
    <x:cfRule type="containsText" dxfId="10" priority="9" operator="containsText" text="Да"/>
    <x:cfRule type="containsText" dxfId="11" priority="10" operator="containsText" text="Нет"/>
  </x:conditionalFormatting>
  <x:pageMargins left="0.7" right="0.7" top="0.75" bottom="0.75" header="0.3" footer="0.3"/>
  <x:tableParts count="1">
    <x:tablePart xmlns:r="http://schemas.openxmlformats.org/officeDocument/2006/relationships" r:id="Rde677508374e4cb2"/>
  </x:tableParts>
</x:worksheet>
</file>